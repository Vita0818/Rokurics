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四域文件总表" sheetId="1" state="visible" r:id="rId3"/>
    <sheet name="Codex轮次计划" sheetId="2" state="visible" r:id="rId4"/>
    <sheet name="R4任务卡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<sst xmlns="http://schemas.openxmlformats.org/spreadsheetml/2006/main" count="268" uniqueCount="184">
  <si>
    <t xml:space="preserve">域</t>
  </si>
  <si>
    <t xml:space="preserve">组件</t>
  </si>
  <si>
    <t xml:space="preserve">关键文件</t>
  </si>
  <si>
    <r>
      <rPr>
        <b val="true"/>
        <sz val="11"/>
        <color rgb="FFFFFFFF"/>
        <rFont val="Noto Sans CJK SC"/>
        <family val="2"/>
      </rPr>
      <t xml:space="preserve">类型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协议</t>
    </r>
  </si>
  <si>
    <r>
      <rPr>
        <b val="true"/>
        <sz val="11"/>
        <color rgb="FFFFFFFF"/>
        <rFont val="Noto Sans CJK SC"/>
        <family val="2"/>
      </rPr>
      <t xml:space="preserve">运行时接管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接线</t>
    </r>
  </si>
  <si>
    <t xml:space="preserve">完成度</t>
  </si>
  <si>
    <r>
      <rPr>
        <b val="true"/>
        <sz val="11"/>
        <color rgb="FFFFFFFF"/>
        <rFont val="Noto Sans CJK SC"/>
        <family val="2"/>
      </rPr>
      <t xml:space="preserve">本轮</t>
    </r>
    <r>
      <rPr>
        <b val="true"/>
        <sz val="11"/>
        <color rgb="FFFFFFFF"/>
        <rFont val="Arial"/>
        <family val="0"/>
        <charset val="1"/>
      </rPr>
      <t xml:space="preserve">(6/15)</t>
    </r>
    <r>
      <rPr>
        <b val="true"/>
        <sz val="11"/>
        <color rgb="FFFFFFFF"/>
        <rFont val="Noto Sans CJK SC"/>
        <family val="2"/>
      </rPr>
      <t xml:space="preserve">变化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备注</t>
    </r>
  </si>
  <si>
    <t xml:space="preserve">Connection</t>
  </si>
  <si>
    <t xml:space="preserve">可移植连接协议</t>
  </si>
  <si>
    <t xml:space="preserve">CanonicalConnectionProtocol.swift</t>
  </si>
  <si>
    <t xml:space="preserve">✅</t>
  </si>
  <si>
    <r>
      <rPr>
        <sz val="9"/>
        <rFont val="Arial"/>
        <family val="0"/>
        <charset val="1"/>
      </rPr>
      <t xml:space="preserve">❌ app </t>
    </r>
    <r>
      <rPr>
        <sz val="9"/>
        <rFont val="Noto Sans CJK SC"/>
        <family val="2"/>
      </rPr>
      <t xml:space="preserve">未接管</t>
    </r>
  </si>
  <si>
    <r>
      <rPr>
        <sz val="9"/>
        <rFont val="Noto Sans CJK SC"/>
        <family val="2"/>
      </rPr>
      <t xml:space="preserve">未变</t>
    </r>
    <r>
      <rPr>
        <sz val="9"/>
        <rFont val="Arial"/>
        <family val="0"/>
        <charset val="1"/>
      </rPr>
      <t xml:space="preserve">;</t>
    </r>
    <r>
      <rPr>
        <sz val="9"/>
        <rFont val="Noto Sans CJK SC"/>
        <family val="2"/>
      </rPr>
      <t xml:space="preserve">协议在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运行时仍 </t>
    </r>
    <r>
      <rPr>
        <sz val="9"/>
        <rFont val="Arial"/>
        <family val="0"/>
        <charset val="1"/>
      </rPr>
      <t xml:space="preserve">legacy</t>
    </r>
  </si>
  <si>
    <r>
      <rPr>
        <sz val="9"/>
        <rFont val="Noto Sans CJK SC"/>
        <family val="2"/>
      </rPr>
      <t xml:space="preserve">传输探针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影子载体</t>
    </r>
  </si>
  <si>
    <t xml:space="preserve">CanonicalReadOnlyTransportProbe / CanonicalTransportRuntime</t>
  </si>
  <si>
    <t xml:space="preserve">🟡 仅影子</t>
  </si>
  <si>
    <t xml:space="preserve">未变</t>
  </si>
  <si>
    <r>
      <rPr>
        <sz val="9"/>
        <rFont val="Noto Sans CJK SC"/>
        <family val="2"/>
      </rPr>
      <t xml:space="preserve">心跳</t>
    </r>
    <r>
      <rPr>
        <sz val="9"/>
        <rFont val="Arial"/>
        <family val="0"/>
        <charset val="1"/>
      </rPr>
      <t xml:space="preserve">/peer liveness/syncRequested</t>
    </r>
  </si>
  <si>
    <r>
      <rPr>
        <sz val="9"/>
        <rFont val="Arial"/>
        <family val="0"/>
        <charset val="1"/>
      </rPr>
      <t xml:space="preserve">performHeartbeat </t>
    </r>
    <r>
      <rPr>
        <sz val="9"/>
        <rFont val="Noto Sans CJK SC"/>
        <family val="2"/>
      </rPr>
      <t xml:space="preserve">消费 </t>
    </r>
    <r>
      <rPr>
        <sz val="9"/>
        <rFont val="Arial"/>
        <family val="0"/>
        <charset val="1"/>
      </rPr>
      <t xml:space="preserve">syncRequested</t>
    </r>
  </si>
  <si>
    <t xml:space="preserve">—</t>
  </si>
  <si>
    <t xml:space="preserve">✅ 已接</t>
  </si>
  <si>
    <r>
      <rPr>
        <sz val="9"/>
        <rFont val="Arial"/>
        <family val="0"/>
        <charset val="1"/>
      </rPr>
      <t xml:space="preserve">Mac </t>
    </r>
    <r>
      <rPr>
        <sz val="9"/>
        <rFont val="Noto Sans CJK SC"/>
        <family val="2"/>
      </rPr>
      <t xml:space="preserve">唤醒 </t>
    </r>
    <r>
      <rPr>
        <sz val="9"/>
        <rFont val="Arial"/>
        <family val="0"/>
        <charset val="1"/>
      </rPr>
      <t xml:space="preserve">iPhone </t>
    </r>
    <r>
      <rPr>
        <sz val="9"/>
        <rFont val="Noto Sans CJK SC"/>
        <family val="2"/>
      </rPr>
      <t xml:space="preserve">通</t>
    </r>
  </si>
  <si>
    <r>
      <rPr>
        <sz val="9"/>
        <rFont val="Arial"/>
        <family val="0"/>
        <charset val="1"/>
      </rPr>
      <t xml:space="preserve">legacy </t>
    </r>
    <r>
      <rPr>
        <sz val="9"/>
        <rFont val="Noto Sans CJK SC"/>
        <family val="2"/>
      </rPr>
      <t xml:space="preserve">安全连接</t>
    </r>
    <r>
      <rPr>
        <sz val="9"/>
        <rFont val="Arial"/>
        <family val="0"/>
        <charset val="1"/>
      </rPr>
      <t xml:space="preserve">(TLS/HMAC/</t>
    </r>
    <r>
      <rPr>
        <sz val="9"/>
        <rFont val="Noto Sans CJK SC"/>
        <family val="2"/>
      </rPr>
      <t xml:space="preserve">配对</t>
    </r>
    <r>
      <rPr>
        <sz val="9"/>
        <rFont val="Arial"/>
        <family val="0"/>
        <charset val="1"/>
      </rPr>
      <t xml:space="preserve">)</t>
    </r>
  </si>
  <si>
    <t xml:space="preserve">SecureLocalHTTPSServer / RequestVerifier / PairingManager</t>
  </si>
  <si>
    <t xml:space="preserve">⏸ 保留</t>
  </si>
  <si>
    <r>
      <rPr>
        <sz val="9"/>
        <rFont val="Arial"/>
        <family val="0"/>
        <charset val="1"/>
      </rPr>
      <t xml:space="preserve">Path:</t>
    </r>
    <r>
      <rPr>
        <sz val="9"/>
        <rFont val="Noto Sans CJK SC"/>
        <family val="2"/>
      </rPr>
      <t xml:space="preserve">不重写</t>
    </r>
  </si>
  <si>
    <t xml:space="preserve">Transfer</t>
  </si>
  <si>
    <r>
      <rPr>
        <sz val="9"/>
        <rFont val="Noto Sans CJK SC"/>
        <family val="2"/>
      </rPr>
      <t xml:space="preserve">传输协议</t>
    </r>
    <r>
      <rPr>
        <sz val="9"/>
        <rFont val="Arial"/>
        <family val="0"/>
        <charset val="1"/>
      </rPr>
      <t xml:space="preserve">+</t>
    </r>
    <r>
      <rPr>
        <sz val="9"/>
        <rFont val="Noto Sans CJK SC"/>
        <family val="2"/>
      </rPr>
      <t xml:space="preserve">状态机</t>
    </r>
    <r>
      <rPr>
        <sz val="9"/>
        <rFont val="Arial"/>
        <family val="0"/>
        <charset val="1"/>
      </rPr>
      <t xml:space="preserve">+proof</t>
    </r>
  </si>
  <si>
    <t xml:space="preserve">CanonicalTransferProtocol / TransferStateMachine / TransferProof</t>
  </si>
  <si>
    <t xml:space="preserve">❌ 未接管</t>
  </si>
  <si>
    <r>
      <rPr>
        <sz val="9"/>
        <rFont val="Noto Sans CJK SC"/>
        <family val="2"/>
      </rPr>
      <t xml:space="preserve">传输运行时</t>
    </r>
    <r>
      <rPr>
        <sz val="9"/>
        <rFont val="Arial"/>
        <family val="0"/>
        <charset val="1"/>
      </rPr>
      <t xml:space="preserve">+</t>
    </r>
    <r>
      <rPr>
        <sz val="9"/>
        <rFont val="Noto Sans CJK SC"/>
        <family val="2"/>
      </rPr>
      <t xml:space="preserve">重试</t>
    </r>
  </si>
  <si>
    <t xml:space="preserve">CanonicalTransferRuntime / TransferRetryRuntime / UploadRuntime</t>
  </si>
  <si>
    <r>
      <rPr>
        <sz val="9"/>
        <rFont val="Noto Sans CJK SC"/>
        <family val="2"/>
      </rPr>
      <t xml:space="preserve">🟡 默认 </t>
    </r>
    <r>
      <rPr>
        <sz val="9"/>
        <rFont val="Arial"/>
        <family val="0"/>
        <charset val="1"/>
      </rPr>
      <t xml:space="preserve">off</t>
    </r>
  </si>
  <si>
    <r>
      <rPr>
        <sz val="9"/>
        <rFont val="Noto Sans CJK SC"/>
        <family val="2"/>
      </rPr>
      <t xml:space="preserve">未变</t>
    </r>
    <r>
      <rPr>
        <sz val="9"/>
        <rFont val="Arial"/>
        <family val="0"/>
        <charset val="1"/>
      </rPr>
      <t xml:space="preserve">(R6 </t>
    </r>
    <r>
      <rPr>
        <sz val="9"/>
        <rFont val="Noto Sans CJK SC"/>
        <family val="2"/>
      </rPr>
      <t xml:space="preserve">待做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</si>
  <si>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音频 </t>
    </r>
    <r>
      <rPr>
        <sz val="9"/>
        <rFont val="Arial"/>
        <family val="0"/>
        <charset val="1"/>
      </rPr>
      <t xml:space="preserve">cutover </t>
    </r>
    <r>
      <rPr>
        <sz val="9"/>
        <rFont val="Noto Sans CJK SC"/>
        <family val="2"/>
      </rPr>
      <t xml:space="preserve">执行器</t>
    </r>
  </si>
  <si>
    <t xml:space="preserve">iPhone/Mac AudioUploadCutoverExecutor</t>
  </si>
  <si>
    <r>
      <rPr>
        <sz val="9"/>
        <rFont val="Noto Sans CJK SC"/>
        <family val="2"/>
      </rPr>
      <t xml:space="preserve">✅ 接 </t>
    </r>
    <r>
      <rPr>
        <sz val="9"/>
        <rFont val="Arial"/>
        <family val="0"/>
        <charset val="1"/>
      </rPr>
      <t xml:space="preserve">RecordingUploadCoordinator</t>
    </r>
  </si>
  <si>
    <t xml:space="preserve">已接</t>
  </si>
  <si>
    <t xml:space="preserve">生产上传端口</t>
  </si>
  <si>
    <t xml:space="preserve">iPhone/MacCanonicalProductionUploadPort</t>
  </si>
  <si>
    <t xml:space="preserve">🟡</t>
  </si>
  <si>
    <t xml:space="preserve">❌ fakeLedger</t>
  </si>
  <si>
    <r>
      <rPr>
        <sz val="9"/>
        <rFont val="Noto Sans CJK SC"/>
        <family val="2"/>
      </rPr>
      <t xml:space="preserve">传输诊断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就绪</t>
    </r>
  </si>
  <si>
    <t xml:space="preserve">TransferDiagnostics / TransferKernelReadiness</t>
  </si>
  <si>
    <r>
      <rPr>
        <sz val="9"/>
        <rFont val="Arial"/>
        <family val="0"/>
        <charset val="1"/>
      </rPr>
      <t xml:space="preserve">legacy </t>
    </r>
    <r>
      <rPr>
        <sz val="9"/>
        <rFont val="Noto Sans CJK SC"/>
        <family val="2"/>
      </rPr>
      <t xml:space="preserve">上传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分块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续传</t>
    </r>
    <r>
      <rPr>
        <sz val="9"/>
        <rFont val="Arial"/>
        <family val="0"/>
        <charset val="1"/>
      </rPr>
      <t xml:space="preserve">)</t>
    </r>
  </si>
  <si>
    <t xml:space="preserve">RecordingUploadCoordinator / SecureMacUploadClient</t>
  </si>
  <si>
    <r>
      <rPr>
        <sz val="9"/>
        <rFont val="Arial"/>
        <family val="0"/>
        <charset val="1"/>
      </rPr>
      <t xml:space="preserve">retry-drain </t>
    </r>
    <r>
      <rPr>
        <sz val="9"/>
        <rFont val="Noto Sans CJK SC"/>
        <family val="2"/>
      </rPr>
      <t xml:space="preserve">待修</t>
    </r>
  </si>
  <si>
    <t xml:space="preserve">Sync</t>
  </si>
  <si>
    <r>
      <rPr>
        <sz val="9"/>
        <rFont val="Noto Sans CJK SC"/>
        <family val="2"/>
      </rPr>
      <t xml:space="preserve">核心模型</t>
    </r>
    <r>
      <rPr>
        <sz val="9"/>
        <rFont val="Arial"/>
        <family val="0"/>
        <charset val="1"/>
      </rPr>
      <t xml:space="preserve">/diff/apply</t>
    </r>
  </si>
  <si>
    <t xml:space="preserve">CanonicalCore / SyncPlanner / ApplyPlan / ApplyRuntime</t>
  </si>
  <si>
    <t xml:space="preserve">稳</t>
  </si>
  <si>
    <r>
      <rPr>
        <sz val="9"/>
        <rFont val="Noto Sans CJK SC"/>
        <family val="2"/>
      </rPr>
      <t xml:space="preserve">投影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读运行时</t>
    </r>
  </si>
  <si>
    <t xml:space="preserve">ReadRuntime / *ReadProjection</t>
  </si>
  <si>
    <t xml:space="preserve">✅ 缓存已修</t>
  </si>
  <si>
    <r>
      <rPr>
        <sz val="9"/>
        <rFont val="Arial"/>
        <family val="0"/>
        <charset val="1"/>
      </rPr>
      <t xml:space="preserve">🆙 R2:</t>
    </r>
    <r>
      <rPr>
        <sz val="9"/>
        <rFont val="Noto Sans CJK SC"/>
        <family val="2"/>
      </rPr>
      <t xml:space="preserve">缓存 </t>
    </r>
    <r>
      <rPr>
        <sz val="9"/>
        <rFont val="Arial"/>
        <family val="0"/>
        <charset val="1"/>
      </rPr>
      <t xml:space="preserve">key </t>
    </r>
    <r>
      <rPr>
        <sz val="9"/>
        <rFont val="Noto Sans CJK SC"/>
        <family val="2"/>
      </rPr>
      <t xml:space="preserve">改内容签名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命中</t>
    </r>
  </si>
  <si>
    <t xml:space="preserve">决策叠加运行时</t>
  </si>
  <si>
    <t xml:space="preserve">CanonicalSyncRuntime</t>
  </si>
  <si>
    <r>
      <rPr>
        <sz val="9"/>
        <rFont val="Noto Sans CJK SC"/>
        <family val="2"/>
      </rPr>
      <t xml:space="preserve">状态真相 </t>
    </r>
    <r>
      <rPr>
        <sz val="9"/>
        <rFont val="Arial"/>
        <family val="0"/>
        <charset val="1"/>
      </rPr>
      <t xml:space="preserve">v9.4</t>
    </r>
  </si>
  <si>
    <t xml:space="preserve">StatusFactStore / EffectiveSyncStatusProjection / StatusTruthRuntime</t>
  </si>
  <si>
    <r>
      <rPr>
        <sz val="9"/>
        <rFont val="Noto Sans CJK SC"/>
        <family val="2"/>
      </rPr>
      <t xml:space="preserve">🟡 引擎在算</t>
    </r>
    <r>
      <rPr>
        <sz val="9"/>
        <rFont val="Arial"/>
        <family val="0"/>
        <charset val="1"/>
      </rPr>
      <t xml:space="preserve">,UI </t>
    </r>
    <r>
      <rPr>
        <sz val="9"/>
        <rFont val="Noto Sans CJK SC"/>
        <family val="2"/>
      </rPr>
      <t xml:space="preserve">不读</t>
    </r>
  </si>
  <si>
    <r>
      <rPr>
        <sz val="9"/>
        <rFont val="Arial"/>
        <family val="0"/>
        <charset val="1"/>
      </rPr>
      <t xml:space="preserve">effectiveStatus </t>
    </r>
    <r>
      <rPr>
        <sz val="9"/>
        <rFont val="Noto Sans CJK SC"/>
        <family val="2"/>
      </rPr>
      <t xml:space="preserve">已在 </t>
    </r>
    <r>
      <rPr>
        <sz val="9"/>
        <rFont val="Arial"/>
        <family val="0"/>
        <charset val="1"/>
      </rPr>
      <t xml:space="preserve">store </t>
    </r>
    <r>
      <rPr>
        <sz val="9"/>
        <rFont val="Noto Sans CJK SC"/>
        <family val="2"/>
      </rPr>
      <t xml:space="preserve">计算</t>
    </r>
    <r>
      <rPr>
        <sz val="9"/>
        <rFont val="Arial"/>
        <family val="0"/>
        <charset val="1"/>
      </rPr>
      <t xml:space="preserve">;★UI(R4)</t>
    </r>
    <r>
      <rPr>
        <sz val="9"/>
        <rFont val="Noto Sans CJK SC"/>
        <family val="2"/>
      </rPr>
      <t xml:space="preserve">未接</t>
    </r>
  </si>
  <si>
    <r>
      <rPr>
        <sz val="9"/>
        <rFont val="Noto Sans CJK SC"/>
        <family val="2"/>
      </rPr>
      <t xml:space="preserve">实时状态交换 </t>
    </r>
    <r>
      <rPr>
        <sz val="9"/>
        <rFont val="Arial"/>
        <family val="0"/>
        <charset val="1"/>
      </rPr>
      <t xml:space="preserve">v9.5</t>
    </r>
  </si>
  <si>
    <t xml:space="preserve">CanonicalRealtimeStatusExchangeProtocol</t>
  </si>
  <si>
    <r>
      <rPr>
        <sz val="9"/>
        <rFont val="Noto Sans CJK SC"/>
        <family val="2"/>
      </rPr>
      <t xml:space="preserve">✅ 心跳</t>
    </r>
    <r>
      <rPr>
        <sz val="9"/>
        <rFont val="Arial"/>
        <family val="0"/>
        <charset val="1"/>
      </rPr>
      <t xml:space="preserve">+inventory </t>
    </r>
    <r>
      <rPr>
        <sz val="9"/>
        <rFont val="Noto Sans CJK SC"/>
        <family val="2"/>
      </rPr>
      <t xml:space="preserve">双路运行</t>
    </r>
  </si>
  <si>
    <r>
      <rPr>
        <sz val="9"/>
        <rFont val="Arial"/>
        <family val="0"/>
        <charset val="1"/>
      </rPr>
      <t xml:space="preserve">🆙 R5:delta/ack </t>
    </r>
    <r>
      <rPr>
        <sz val="9"/>
        <rFont val="Noto Sans CJK SC"/>
        <family val="2"/>
      </rPr>
      <t xml:space="preserve">已跑</t>
    </r>
  </si>
  <si>
    <r>
      <rPr>
        <sz val="9"/>
        <rFont val="Arial"/>
        <family val="0"/>
        <charset val="1"/>
      </rPr>
      <t xml:space="preserve">5 </t>
    </r>
    <r>
      <rPr>
        <sz val="9"/>
        <rFont val="Noto Sans CJK SC"/>
        <family val="2"/>
      </rPr>
      <t xml:space="preserve">域执行器</t>
    </r>
  </si>
  <si>
    <t xml:space="preserve">iPhone/Mac {Recording,Library,GeneratedArtifact,Tombstone}{NoCommit,Cutover,RealApplyPort,ReadSeam}</t>
  </si>
  <si>
    <t xml:space="preserve">事件驱动同步</t>
  </si>
  <si>
    <r>
      <rPr>
        <sz val="9"/>
        <rFont val="Arial"/>
        <family val="0"/>
        <charset val="1"/>
      </rPr>
      <t xml:space="preserve">queueImmediateSync + </t>
    </r>
    <r>
      <rPr>
        <sz val="9"/>
        <rFont val="Noto Sans CJK SC"/>
        <family val="2"/>
      </rPr>
      <t xml:space="preserve">事件源</t>
    </r>
  </si>
  <si>
    <t xml:space="preserve">✅ 5s debounce</t>
  </si>
  <si>
    <t xml:space="preserve">File</t>
  </si>
  <si>
    <t xml:space="preserve">文件协议</t>
  </si>
  <si>
    <t xml:space="preserve">CanonicalFileProtocol</t>
  </si>
  <si>
    <r>
      <rPr>
        <sz val="9"/>
        <rFont val="Noto Sans CJK SC"/>
        <family val="2"/>
      </rPr>
      <t xml:space="preserve">快照</t>
    </r>
    <r>
      <rPr>
        <sz val="9"/>
        <rFont val="Arial"/>
        <family val="0"/>
        <charset val="1"/>
      </rPr>
      <t xml:space="preserve">/manifest/checksum runtime</t>
    </r>
  </si>
  <si>
    <t xml:space="preserve">CanonicalFileSnapshotRuntime / ManifestRuntime / ChecksumRuntime</t>
  </si>
  <si>
    <r>
      <rPr>
        <sz val="9"/>
        <rFont val="Arial"/>
        <family val="0"/>
        <charset val="1"/>
      </rPr>
      <t xml:space="preserve">🟡 manifest </t>
    </r>
    <r>
      <rPr>
        <sz val="9"/>
        <rFont val="Noto Sans CJK SC"/>
        <family val="2"/>
      </rPr>
      <t xml:space="preserve">已 </t>
    </r>
    <r>
      <rPr>
        <sz val="9"/>
        <rFont val="Arial"/>
        <family val="0"/>
        <charset val="1"/>
      </rPr>
      <t xml:space="preserve">detached</t>
    </r>
  </si>
  <si>
    <r>
      <rPr>
        <sz val="9"/>
        <rFont val="Arial"/>
        <family val="0"/>
        <charset val="1"/>
      </rPr>
      <t xml:space="preserve">R3:manifest </t>
    </r>
    <r>
      <rPr>
        <sz val="9"/>
        <rFont val="Noto Sans CJK SC"/>
        <family val="2"/>
      </rPr>
      <t xml:space="preserve">构建移后台</t>
    </r>
  </si>
  <si>
    <r>
      <rPr>
        <sz val="9"/>
        <rFont val="Arial"/>
        <family val="0"/>
        <charset val="1"/>
      </rPr>
      <t xml:space="preserve">root-bound </t>
    </r>
    <r>
      <rPr>
        <sz val="9"/>
        <rFont val="Noto Sans CJK SC"/>
        <family val="2"/>
      </rPr>
      <t xml:space="preserve">原子写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回滚</t>
    </r>
  </si>
  <si>
    <t xml:space="preserve">RootBoundMetadataWrite / ProductionExecution</t>
  </si>
  <si>
    <t xml:space="preserve">主线程长任务护栏</t>
  </si>
  <si>
    <t xml:space="preserve">CanonicalMainActorHotPathGuard</t>
  </si>
  <si>
    <t xml:space="preserve">🟡 部分强制</t>
  </si>
  <si>
    <r>
      <rPr>
        <sz val="9"/>
        <rFont val="Arial"/>
        <family val="0"/>
        <charset val="1"/>
      </rPr>
      <t xml:space="preserve">R3:</t>
    </r>
    <r>
      <rPr>
        <sz val="9"/>
        <rFont val="Noto Sans CJK SC"/>
        <family val="2"/>
      </rPr>
      <t xml:space="preserve">重算多数离主线程</t>
    </r>
  </si>
  <si>
    <t xml:space="preserve">异步诊断写入器</t>
  </si>
  <si>
    <t xml:space="preserve">CanonicalAsyncDiagnosticsWriter(actor)</t>
  </si>
  <si>
    <r>
      <rPr>
        <sz val="9"/>
        <rFont val="Noto Sans CJK SC"/>
        <family val="2"/>
      </rPr>
      <t xml:space="preserve">✅ 已接 </t>
    </r>
    <r>
      <rPr>
        <sz val="9"/>
        <rFont val="Arial"/>
        <family val="0"/>
        <charset val="1"/>
      </rPr>
      <t xml:space="preserve">record </t>
    </r>
    <r>
      <rPr>
        <sz val="9"/>
        <rFont val="Noto Sans CJK SC"/>
        <family val="2"/>
      </rPr>
      <t xml:space="preserve">热路径</t>
    </r>
  </si>
  <si>
    <r>
      <rPr>
        <sz val="9"/>
        <rFont val="Arial"/>
        <family val="0"/>
        <charset val="1"/>
      </rPr>
      <t xml:space="preserve">🆙 R1:</t>
    </r>
    <r>
      <rPr>
        <sz val="9"/>
        <rFont val="Noto Sans CJK SC"/>
        <family val="2"/>
      </rPr>
      <t xml:space="preserve">孤儿→接上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非阻塞</t>
    </r>
  </si>
  <si>
    <t xml:space="preserve">读投影缓存</t>
  </si>
  <si>
    <r>
      <rPr>
        <sz val="9"/>
        <rFont val="Arial"/>
        <family val="0"/>
        <charset val="1"/>
      </rPr>
      <t xml:space="preserve">canonicalEffectiveReadCache(</t>
    </r>
    <r>
      <rPr>
        <sz val="9"/>
        <rFont val="Noto Sans CJK SC"/>
        <family val="2"/>
      </rPr>
      <t xml:space="preserve">内容签名 </t>
    </r>
    <r>
      <rPr>
        <sz val="9"/>
        <rFont val="Arial"/>
        <family val="0"/>
        <charset val="1"/>
      </rPr>
      <t xml:space="preserve">key)</t>
    </r>
  </si>
  <si>
    <r>
      <rPr>
        <sz val="9"/>
        <rFont val="Noto Sans CJK SC"/>
        <family val="2"/>
      </rPr>
      <t xml:space="preserve">✅ 命中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不再每次重建</t>
    </r>
  </si>
  <si>
    <r>
      <rPr>
        <sz val="9"/>
        <rFont val="Arial"/>
        <family val="0"/>
        <charset val="1"/>
      </rPr>
      <t xml:space="preserve">🆙 R2:</t>
    </r>
    <r>
      <rPr>
        <sz val="9"/>
        <rFont val="Noto Sans CJK SC"/>
        <family val="2"/>
      </rPr>
      <t xml:space="preserve">去掉 </t>
    </r>
    <r>
      <rPr>
        <sz val="9"/>
        <rFont val="Arial"/>
        <family val="0"/>
        <charset val="1"/>
      </rPr>
      <t xml:space="preserve">generatedAt</t>
    </r>
  </si>
  <si>
    <r>
      <rPr>
        <sz val="9"/>
        <rFont val="Noto Sans CJK SC"/>
        <family val="2"/>
      </rPr>
      <t xml:space="preserve">诊断热路径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实际在用</t>
    </r>
    <r>
      <rPr>
        <sz val="9"/>
        <rFont val="Arial"/>
        <family val="0"/>
        <charset val="1"/>
      </rPr>
      <t xml:space="preserve">)</t>
    </r>
  </si>
  <si>
    <t xml:space="preserve">ConnectionDiagnosticsStore.record</t>
  </si>
  <si>
    <t xml:space="preserve">✅ append+async enqueue</t>
  </si>
  <si>
    <r>
      <rPr>
        <sz val="9"/>
        <rFont val="Arial"/>
        <family val="0"/>
        <charset val="1"/>
      </rPr>
      <t xml:space="preserve">🆙 R1:</t>
    </r>
    <r>
      <rPr>
        <sz val="9"/>
        <rFont val="Noto Sans CJK SC"/>
        <family val="2"/>
      </rPr>
      <t xml:space="preserve">不再同步整文件重写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灭 </t>
    </r>
    <r>
      <rPr>
        <sz val="9"/>
        <rFont val="Arial"/>
        <family val="0"/>
        <charset val="1"/>
      </rPr>
      <t xml:space="preserve">9000ms)</t>
    </r>
  </si>
  <si>
    <r>
      <rPr>
        <sz val="9"/>
        <rFont val="Arial"/>
        <family val="0"/>
        <charset val="1"/>
      </rPr>
      <t xml:space="preserve">legacy </t>
    </r>
    <r>
      <rPr>
        <sz val="9"/>
        <rFont val="Noto Sans CJK SC"/>
        <family val="2"/>
      </rPr>
      <t xml:space="preserve">文件存储</t>
    </r>
  </si>
  <si>
    <t xml:space="preserve">AudioFileStore / MacRecordingFileStore</t>
  </si>
  <si>
    <t xml:space="preserve">执行肌肉</t>
  </si>
  <si>
    <t xml:space="preserve">跨域</t>
  </si>
  <si>
    <r>
      <rPr>
        <sz val="9"/>
        <rFont val="Noto Sans CJK SC"/>
        <family val="2"/>
      </rPr>
      <t xml:space="preserve">主开关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四域</t>
    </r>
    <r>
      <rPr>
        <sz val="9"/>
        <rFont val="Arial"/>
        <family val="0"/>
        <charset val="1"/>
      </rPr>
      <t xml:space="preserve">)</t>
    </r>
  </si>
  <si>
    <t xml:space="preserve">CanonicalKernelSwitch</t>
  </si>
  <si>
    <r>
      <rPr>
        <sz val="9"/>
        <rFont val="Noto Sans CJK SC"/>
        <family val="2"/>
      </rPr>
      <t xml:space="preserve">✅ 默认 </t>
    </r>
    <r>
      <rPr>
        <sz val="9"/>
        <rFont val="Arial"/>
        <family val="0"/>
        <charset val="1"/>
      </rPr>
      <t xml:space="preserve">oldKernel</t>
    </r>
  </si>
  <si>
    <r>
      <rPr>
        <sz val="9"/>
        <rFont val="Arial"/>
        <family val="0"/>
        <charset val="1"/>
      </rPr>
      <t xml:space="preserve">5 </t>
    </r>
    <r>
      <rPr>
        <sz val="9"/>
        <rFont val="Noto Sans CJK SC"/>
        <family val="2"/>
      </rPr>
      <t xml:space="preserve">档</t>
    </r>
  </si>
  <si>
    <r>
      <rPr>
        <sz val="9"/>
        <rFont val="Noto Sans CJK SC"/>
        <family val="2"/>
      </rPr>
      <t xml:space="preserve">门面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协议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不变量</t>
    </r>
    <r>
      <rPr>
        <sz val="9"/>
        <rFont val="Arial"/>
        <family val="0"/>
        <charset val="1"/>
      </rPr>
      <t xml:space="preserve">/v9</t>
    </r>
    <r>
      <rPr>
        <sz val="9"/>
        <rFont val="Noto Sans CJK SC"/>
        <family val="2"/>
      </rPr>
      <t xml:space="preserve">完成门</t>
    </r>
  </si>
  <si>
    <t xml:space="preserve">KernelFacade / KernelProtocols / KernelInvariants / KernelV9Completion</t>
  </si>
  <si>
    <t xml:space="preserve">完成门多数未绿</t>
  </si>
  <si>
    <t xml:space="preserve">端口注入策略</t>
  </si>
  <si>
    <t xml:space="preserve">CanonicalProductionPortInjectionPolicy</t>
  </si>
  <si>
    <r>
      <rPr>
        <sz val="9"/>
        <rFont val="Arial"/>
        <family val="0"/>
        <charset val="1"/>
      </rPr>
      <t xml:space="preserve">legacy </t>
    </r>
    <r>
      <rPr>
        <sz val="9"/>
        <rFont val="Noto Sans CJK SC"/>
        <family val="2"/>
      </rPr>
      <t xml:space="preserve">兼容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切回证明</t>
    </r>
  </si>
  <si>
    <t xml:space="preserve">CanonicalLegacyCompatibility + driver</t>
  </si>
  <si>
    <t xml:space="preserve">真实库副本可跑</t>
  </si>
  <si>
    <r>
      <rPr>
        <sz val="9"/>
        <rFont val="Noto Sans CJK SC"/>
        <family val="2"/>
      </rPr>
      <t xml:space="preserve">迁移脚手架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全套</t>
    </r>
    <r>
      <rPr>
        <sz val="9"/>
        <rFont val="Arial"/>
        <family val="0"/>
        <charset val="1"/>
      </rPr>
      <t xml:space="preserve">)</t>
    </r>
  </si>
  <si>
    <t xml:space="preserve">Cutover/Landing/Canary/Evidence/Matrix/Shadow/Retirement…</t>
  </si>
  <si>
    <t xml:space="preserve">✅ 保留</t>
  </si>
  <si>
    <t xml:space="preserve">安全带</t>
  </si>
  <si>
    <t xml:space="preserve">R1</t>
  </si>
  <si>
    <r>
      <rPr>
        <b val="true"/>
        <sz val="11"/>
        <color rgb="FFFFFFFF"/>
        <rFont val="Noto Sans CJK SC"/>
        <family val="2"/>
      </rPr>
      <t xml:space="preserve">✅ 已完成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代码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</si>
  <si>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灭 </t>
    </r>
    <r>
      <rPr>
        <b val="true"/>
        <sz val="11"/>
        <color rgb="FFFFFFFF"/>
        <rFont val="Arial"/>
        <family val="0"/>
        <charset val="1"/>
      </rPr>
      <t xml:space="preserve">9000ms </t>
    </r>
    <r>
      <rPr>
        <b val="true"/>
        <sz val="11"/>
        <color rgb="FFFFFFFF"/>
        <rFont val="Noto Sans CJK SC"/>
        <family val="2"/>
      </rPr>
      <t xml:space="preserve">卡死</t>
    </r>
  </si>
  <si>
    <r>
      <rPr>
        <b val="true"/>
        <sz val="11"/>
        <color rgb="FFFFFFFF"/>
        <rFont val="Arial"/>
        <family val="0"/>
        <charset val="1"/>
      </rPr>
      <t xml:space="preserve">record </t>
    </r>
    <r>
      <rPr>
        <b val="true"/>
        <sz val="11"/>
        <color rgb="FFFFFFFF"/>
        <rFont val="Noto Sans CJK SC"/>
        <family val="2"/>
      </rPr>
      <t xml:space="preserve">改 </t>
    </r>
    <r>
      <rPr>
        <b val="true"/>
        <sz val="11"/>
        <color rgb="FFFFFFFF"/>
        <rFont val="Arial"/>
        <family val="0"/>
        <charset val="1"/>
      </rPr>
      <t xml:space="preserve">append+</t>
    </r>
    <r>
      <rPr>
        <b val="true"/>
        <sz val="11"/>
        <color rgb="FFFFFFFF"/>
        <rFont val="Noto Sans CJK SC"/>
        <family val="2"/>
      </rPr>
      <t xml:space="preserve">异步 </t>
    </r>
    <r>
      <rPr>
        <b val="true"/>
        <sz val="11"/>
        <color rgb="FFFFFFFF"/>
        <rFont val="Arial"/>
        <family val="0"/>
        <charset val="1"/>
      </rPr>
      <t xml:space="preserve">actor </t>
    </r>
    <r>
      <rPr>
        <b val="true"/>
        <sz val="11"/>
        <color rgb="FFFFFFFF"/>
        <rFont val="Noto Sans CJK SC"/>
        <family val="2"/>
      </rPr>
      <t xml:space="preserve">写</t>
    </r>
    <r>
      <rPr>
        <b val="true"/>
        <sz val="11"/>
        <color rgb="FFFFFFFF"/>
        <rFont val="Arial"/>
        <family val="0"/>
        <charset val="1"/>
      </rPr>
      <t xml:space="preserve">;367 </t>
    </r>
    <r>
      <rPr>
        <b val="true"/>
        <sz val="11"/>
        <color rgb="FFFFFFFF"/>
        <rFont val="Noto Sans CJK SC"/>
        <family val="2"/>
      </rPr>
      <t xml:space="preserve">热路径接 </t>
    </r>
    <r>
      <rPr>
        <b val="true"/>
        <sz val="11"/>
        <color rgb="FFFFFFFF"/>
        <rFont val="Arial"/>
        <family val="0"/>
        <charset val="1"/>
      </rPr>
      <t xml:space="preserve">CanonicalAsyncDiagnosticsWriter</t>
    </r>
  </si>
  <si>
    <r>
      <rPr>
        <b val="true"/>
        <sz val="11"/>
        <color rgb="FFFFFFFF"/>
        <rFont val="Noto Sans CJK SC"/>
        <family val="2"/>
      </rPr>
      <t xml:space="preserve">真机</t>
    </r>
    <r>
      <rPr>
        <b val="true"/>
        <sz val="11"/>
        <color rgb="FFFFFFFF"/>
        <rFont val="Arial"/>
        <family val="0"/>
        <charset val="1"/>
      </rPr>
      <t xml:space="preserve">:</t>
    </r>
    <r>
      <rPr>
        <b val="true"/>
        <sz val="11"/>
        <color rgb="FFFFFFFF"/>
        <rFont val="Noto Sans CJK SC"/>
        <family val="2"/>
      </rPr>
      <t xml:space="preserve">无 </t>
    </r>
    <r>
      <rPr>
        <b val="true"/>
        <sz val="11"/>
        <color rgb="FFFFFFFF"/>
        <rFont val="Arial"/>
        <family val="0"/>
        <charset val="1"/>
      </rPr>
      <t xml:space="preserve">9000ms,</t>
    </r>
    <r>
      <rPr>
        <b val="true"/>
        <sz val="11"/>
        <color rgb="FFFFFFFF"/>
        <rFont val="Noto Sans CJK SC"/>
        <family val="2"/>
      </rPr>
      <t xml:space="preserve">主线程无同步文件写</t>
    </r>
  </si>
  <si>
    <t xml:space="preserve">R2</t>
  </si>
  <si>
    <r>
      <rPr>
        <sz val="9"/>
        <rFont val="Noto Sans CJK SC"/>
        <family val="2"/>
      </rPr>
      <t xml:space="preserve">✅ 已完成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代码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</si>
  <si>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灭 </t>
    </r>
    <r>
      <rPr>
        <sz val="9"/>
        <rFont val="Arial"/>
        <family val="0"/>
        <charset val="1"/>
      </rPr>
      <t xml:space="preserve">500ms </t>
    </r>
    <r>
      <rPr>
        <sz val="9"/>
        <rFont val="Noto Sans CJK SC"/>
        <family val="2"/>
      </rPr>
      <t xml:space="preserve">小卡顿</t>
    </r>
  </si>
  <si>
    <r>
      <rPr>
        <sz val="9"/>
        <rFont val="Noto Sans CJK SC"/>
        <family val="2"/>
      </rPr>
      <t xml:space="preserve">读缓存 </t>
    </r>
    <r>
      <rPr>
        <sz val="9"/>
        <rFont val="Arial"/>
        <family val="0"/>
        <charset val="1"/>
      </rPr>
      <t xml:space="preserve">key </t>
    </r>
    <r>
      <rPr>
        <sz val="9"/>
        <rFont val="Noto Sans CJK SC"/>
        <family val="2"/>
      </rPr>
      <t xml:space="preserve">改内容签名</t>
    </r>
    <r>
      <rPr>
        <sz val="9"/>
        <rFont val="Arial"/>
        <family val="0"/>
        <charset val="1"/>
      </rPr>
      <t xml:space="preserve">(snapshotSignature),</t>
    </r>
    <r>
      <rPr>
        <sz val="9"/>
        <rFont val="Noto Sans CJK SC"/>
        <family val="2"/>
      </rPr>
      <t xml:space="preserve">去 </t>
    </r>
    <r>
      <rPr>
        <sz val="9"/>
        <rFont val="Arial"/>
        <family val="0"/>
        <charset val="1"/>
      </rPr>
      <t xml:space="preserve">generatedAt</t>
    </r>
  </si>
  <si>
    <r>
      <rPr>
        <sz val="9"/>
        <rFont val="Noto Sans CJK SC"/>
        <family val="2"/>
      </rPr>
      <t xml:space="preserve">真机</t>
    </r>
    <r>
      <rPr>
        <sz val="9"/>
        <rFont val="Arial"/>
        <family val="0"/>
        <charset val="1"/>
      </rPr>
      <t xml:space="preserve">:cacheHit </t>
    </r>
    <r>
      <rPr>
        <sz val="9"/>
        <rFont val="Noto Sans CJK SC"/>
        <family val="2"/>
      </rPr>
      <t xml:space="preserve">占多数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不再每访问重建</t>
    </r>
  </si>
  <si>
    <t xml:space="preserve">R3</t>
  </si>
  <si>
    <t xml:space="preserve">🟡 部分</t>
  </si>
  <si>
    <t xml:space="preserve">主线程降载</t>
  </si>
  <si>
    <r>
      <rPr>
        <sz val="9"/>
        <rFont val="Arial"/>
        <family val="0"/>
        <charset val="1"/>
      </rPr>
      <t xml:space="preserve">manifest/effectiveStatus </t>
    </r>
    <r>
      <rPr>
        <sz val="9"/>
        <rFont val="Noto Sans CJK SC"/>
        <family val="2"/>
      </rPr>
      <t xml:space="preserve">已 </t>
    </r>
    <r>
      <rPr>
        <sz val="9"/>
        <rFont val="Arial"/>
        <family val="0"/>
        <charset val="1"/>
      </rPr>
      <t xml:space="preserve">detached/actor;HotPathGuard </t>
    </r>
    <r>
      <rPr>
        <sz val="9"/>
        <rFont val="Noto Sans CJK SC"/>
        <family val="2"/>
      </rPr>
      <t xml:space="preserve">仅部分强制</t>
    </r>
  </si>
  <si>
    <r>
      <rPr>
        <sz val="9"/>
        <rFont val="Noto Sans CJK SC"/>
        <family val="2"/>
      </rPr>
      <t xml:space="preserve">真机</t>
    </r>
    <r>
      <rPr>
        <sz val="9"/>
        <rFont val="Arial"/>
        <family val="0"/>
        <charset val="1"/>
      </rPr>
      <t xml:space="preserve">:mainActorLongTaskDurationMs </t>
    </r>
    <r>
      <rPr>
        <sz val="9"/>
        <rFont val="Noto Sans CJK SC"/>
        <family val="2"/>
      </rPr>
      <t xml:space="preserve">有界</t>
    </r>
  </si>
  <si>
    <t xml:space="preserve">不加新域</t>
  </si>
  <si>
    <t xml:space="preserve">R4</t>
  </si>
  <si>
    <r>
      <rPr>
        <sz val="9"/>
        <rFont val="Noto Sans CJK SC"/>
        <family val="2"/>
      </rPr>
      <t xml:space="preserve">❌ 下一步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最高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</si>
  <si>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UI </t>
    </r>
    <r>
      <rPr>
        <sz val="9"/>
        <rFont val="Noto Sans CJK SC"/>
        <family val="2"/>
      </rPr>
      <t xml:space="preserve">只读 </t>
    </r>
    <r>
      <rPr>
        <sz val="9"/>
        <rFont val="Arial"/>
        <family val="0"/>
        <charset val="1"/>
      </rPr>
      <t xml:space="preserve">EffectiveSyncStatus</t>
    </r>
  </si>
  <si>
    <r>
      <rPr>
        <sz val="9"/>
        <rFont val="Arial"/>
        <family val="0"/>
        <charset val="1"/>
      </rPr>
      <t xml:space="preserve">UI </t>
    </r>
    <r>
      <rPr>
        <sz val="9"/>
        <rFont val="Noto Sans CJK SC"/>
        <family val="2"/>
      </rPr>
      <t xml:space="preserve">改读 </t>
    </r>
    <r>
      <rPr>
        <sz val="9"/>
        <rFont val="Arial"/>
        <family val="0"/>
        <charset val="1"/>
      </rPr>
      <t xml:space="preserve">CanonicalEffectiveSyncStatus(</t>
    </r>
    <r>
      <rPr>
        <sz val="9"/>
        <rFont val="Noto Sans CJK SC"/>
        <family val="2"/>
      </rPr>
      <t xml:space="preserve">带 </t>
    </r>
    <r>
      <rPr>
        <sz val="9"/>
        <rFont val="Arial"/>
        <family val="0"/>
        <charset val="1"/>
      </rPr>
      <t xml:space="preserve">proof),</t>
    </r>
    <r>
      <rPr>
        <sz val="9"/>
        <rFont val="Noto Sans CJK SC"/>
        <family val="2"/>
      </rPr>
      <t xml:space="preserve">删多源拼状态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详见 </t>
    </r>
    <r>
      <rPr>
        <sz val="9"/>
        <rFont val="Arial"/>
        <family val="0"/>
        <charset val="1"/>
      </rPr>
      <t xml:space="preserve">R4 </t>
    </r>
    <r>
      <rPr>
        <sz val="9"/>
        <rFont val="Noto Sans CJK SC"/>
        <family val="2"/>
      </rPr>
      <t xml:space="preserve">任务卡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</si>
  <si>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真机</t>
    </r>
    <r>
      <rPr>
        <sz val="9"/>
        <rFont val="Arial"/>
        <family val="0"/>
        <charset val="1"/>
      </rPr>
      <t xml:space="preserve">:</t>
    </r>
    <r>
      <rPr>
        <sz val="9"/>
        <rFont val="Noto Sans CJK SC"/>
        <family val="2"/>
      </rPr>
      <t xml:space="preserve">两端同项状态一致</t>
    </r>
    <r>
      <rPr>
        <sz val="9"/>
        <rFont val="Arial"/>
        <family val="0"/>
        <charset val="1"/>
      </rPr>
      <t xml:space="preserve">;</t>
    </r>
    <r>
      <rPr>
        <sz val="9"/>
        <rFont val="Noto Sans CJK SC"/>
        <family val="2"/>
      </rPr>
      <t xml:space="preserve">无 </t>
    </r>
    <r>
      <rPr>
        <sz val="9"/>
        <rFont val="Arial"/>
        <family val="0"/>
        <charset val="1"/>
      </rPr>
      <t xml:space="preserve">proof </t>
    </r>
    <r>
      <rPr>
        <sz val="9"/>
        <rFont val="Noto Sans CJK SC"/>
        <family val="2"/>
      </rPr>
      <t xml:space="preserve">不显示完成</t>
    </r>
  </si>
  <si>
    <r>
      <rPr>
        <sz val="9"/>
        <rFont val="Noto Sans CJK SC"/>
        <family val="2"/>
      </rPr>
      <t xml:space="preserve">不新增状态来源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不绕 </t>
    </r>
    <r>
      <rPr>
        <sz val="9"/>
        <rFont val="Arial"/>
        <family val="0"/>
        <charset val="1"/>
      </rPr>
      <t xml:space="preserve">proof</t>
    </r>
  </si>
  <si>
    <t xml:space="preserve">R5</t>
  </si>
  <si>
    <r>
      <rPr>
        <sz val="9"/>
        <rFont val="Arial"/>
        <family val="0"/>
        <charset val="1"/>
      </rPr>
      <t xml:space="preserve">v9.5 </t>
    </r>
    <r>
      <rPr>
        <sz val="9"/>
        <rFont val="Noto Sans CJK SC"/>
        <family val="2"/>
      </rPr>
      <t xml:space="preserve">实时状态交换</t>
    </r>
  </si>
  <si>
    <r>
      <rPr>
        <sz val="9"/>
        <rFont val="Arial"/>
        <family val="0"/>
        <charset val="1"/>
      </rPr>
      <t xml:space="preserve">delta/ack/request </t>
    </r>
    <r>
      <rPr>
        <sz val="9"/>
        <rFont val="Noto Sans CJK SC"/>
        <family val="2"/>
      </rPr>
      <t xml:space="preserve">经心跳</t>
    </r>
    <r>
      <rPr>
        <sz val="9"/>
        <rFont val="Arial"/>
        <family val="0"/>
        <charset val="1"/>
      </rPr>
      <t xml:space="preserve">+inventory </t>
    </r>
    <r>
      <rPr>
        <sz val="9"/>
        <rFont val="Noto Sans CJK SC"/>
        <family val="2"/>
      </rPr>
      <t xml:space="preserve">双路在两端流动</t>
    </r>
  </si>
  <si>
    <r>
      <rPr>
        <sz val="9"/>
        <rFont val="Noto Sans CJK SC"/>
        <family val="2"/>
      </rPr>
      <t xml:space="preserve">真机</t>
    </r>
    <r>
      <rPr>
        <sz val="9"/>
        <rFont val="Arial"/>
        <family val="0"/>
        <charset val="1"/>
      </rPr>
      <t xml:space="preserve">:statusDeltaSent/Received/Ack </t>
    </r>
    <r>
      <rPr>
        <sz val="9"/>
        <rFont val="Noto Sans CJK SC"/>
        <family val="2"/>
      </rPr>
      <t xml:space="preserve">出现</t>
    </r>
  </si>
  <si>
    <r>
      <rPr>
        <sz val="9"/>
        <rFont val="Noto Sans CJK SC"/>
        <family val="2"/>
      </rPr>
      <t xml:space="preserve">不新增 </t>
    </r>
    <r>
      <rPr>
        <sz val="9"/>
        <rFont val="Arial"/>
        <family val="0"/>
        <charset val="1"/>
      </rPr>
      <t xml:space="preserve">route</t>
    </r>
  </si>
  <si>
    <t xml:space="preserve">R6</t>
  </si>
  <si>
    <t xml:space="preserve">❌ 待做</t>
  </si>
  <si>
    <r>
      <rPr>
        <sz val="9"/>
        <rFont val="Arial"/>
        <family val="0"/>
        <charset val="1"/>
      </rPr>
      <t xml:space="preserve">Connection/Transfer </t>
    </r>
    <r>
      <rPr>
        <sz val="9"/>
        <rFont val="Noto Sans CJK SC"/>
        <family val="2"/>
      </rPr>
      <t xml:space="preserve">运行时接管</t>
    </r>
    <r>
      <rPr>
        <sz val="9"/>
        <rFont val="Arial"/>
        <family val="0"/>
        <charset val="1"/>
      </rPr>
      <t xml:space="preserve">(behind </t>
    </r>
    <r>
      <rPr>
        <sz val="9"/>
        <rFont val="Noto Sans CJK SC"/>
        <family val="2"/>
      </rPr>
      <t xml:space="preserve">开关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</si>
  <si>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fullSync </t>
    </r>
    <r>
      <rPr>
        <sz val="9"/>
        <rFont val="Noto Sans CJK SC"/>
        <family val="2"/>
      </rPr>
      <t xml:space="preserve">让 </t>
    </r>
    <r>
      <rPr>
        <sz val="9"/>
        <rFont val="Arial"/>
        <family val="0"/>
        <charset val="1"/>
      </rPr>
      <t xml:space="preserve">Transfer/Connection </t>
    </r>
    <r>
      <rPr>
        <sz val="9"/>
        <rFont val="Noto Sans CJK SC"/>
        <family val="2"/>
      </rPr>
      <t xml:space="preserve">成 </t>
    </r>
    <r>
      <rPr>
        <sz val="9"/>
        <rFont val="Arial"/>
        <family val="0"/>
        <charset val="1"/>
      </rPr>
      <t xml:space="preserve">owner;</t>
    </r>
    <r>
      <rPr>
        <sz val="9"/>
        <rFont val="Noto Sans CJK SC"/>
        <family val="2"/>
      </rPr>
      <t xml:space="preserve">上传端口替掉 </t>
    </r>
    <r>
      <rPr>
        <sz val="9"/>
        <rFont val="Arial"/>
        <family val="0"/>
        <charset val="1"/>
      </rPr>
      <t xml:space="preserve">fakeLedger</t>
    </r>
  </si>
  <si>
    <r>
      <rPr>
        <sz val="9"/>
        <rFont val="Noto Sans CJK SC"/>
        <family val="2"/>
      </rPr>
      <t xml:space="preserve">真机</t>
    </r>
    <r>
      <rPr>
        <sz val="9"/>
        <rFont val="Arial"/>
        <family val="0"/>
        <charset val="1"/>
      </rPr>
      <t xml:space="preserve">:fullSync </t>
    </r>
    <r>
      <rPr>
        <sz val="9"/>
        <rFont val="Noto Sans CJK SC"/>
        <family val="2"/>
      </rPr>
      <t xml:space="preserve">走 </t>
    </r>
    <r>
      <rPr>
        <sz val="9"/>
        <rFont val="Arial"/>
        <family val="0"/>
        <charset val="1"/>
      </rPr>
      <t xml:space="preserve">canonical owner,</t>
    </r>
    <r>
      <rPr>
        <sz val="9"/>
        <rFont val="Noto Sans CJK SC"/>
        <family val="2"/>
      </rPr>
      <t xml:space="preserve">可切回</t>
    </r>
  </si>
  <si>
    <r>
      <rPr>
        <sz val="9"/>
        <rFont val="Noto Sans CJK SC"/>
        <family val="2"/>
      </rPr>
      <t xml:space="preserve">不重写 </t>
    </r>
    <r>
      <rPr>
        <sz val="9"/>
        <rFont val="Arial"/>
        <family val="0"/>
        <charset val="1"/>
      </rPr>
      <t xml:space="preserve">TLS/HMAC</t>
    </r>
  </si>
  <si>
    <t xml:space="preserve">R7</t>
  </si>
  <si>
    <r>
      <rPr>
        <sz val="9"/>
        <rFont val="Noto Sans CJK SC"/>
        <family val="2"/>
      </rPr>
      <t xml:space="preserve">四域 </t>
    </r>
    <r>
      <rPr>
        <sz val="9"/>
        <rFont val="Arial"/>
        <family val="0"/>
        <charset val="1"/>
      </rPr>
      <t xml:space="preserve">gate </t>
    </r>
    <r>
      <rPr>
        <sz val="9"/>
        <rFont val="Noto Sans CJK SC"/>
        <family val="2"/>
      </rPr>
      <t xml:space="preserve">收口 </t>
    </r>
    <r>
      <rPr>
        <sz val="9"/>
        <rFont val="Arial"/>
        <family val="0"/>
        <charset val="1"/>
      </rPr>
      <t xml:space="preserve">+ </t>
    </r>
    <r>
      <rPr>
        <sz val="9"/>
        <rFont val="Noto Sans CJK SC"/>
        <family val="2"/>
      </rPr>
      <t xml:space="preserve">真机验收</t>
    </r>
  </si>
  <si>
    <r>
      <rPr>
        <sz val="9"/>
        <rFont val="Noto Sans CJK SC"/>
        <family val="2"/>
      </rPr>
      <t xml:space="preserve">一个开关驱动四域</t>
    </r>
    <r>
      <rPr>
        <sz val="9"/>
        <rFont val="Arial"/>
        <family val="0"/>
        <charset val="1"/>
      </rPr>
      <t xml:space="preserve">;V9Completion </t>
    </r>
    <r>
      <rPr>
        <sz val="9"/>
        <rFont val="Noto Sans CJK SC"/>
        <family val="2"/>
      </rPr>
      <t xml:space="preserve">四域全绿才允 </t>
    </r>
    <r>
      <rPr>
        <sz val="9"/>
        <rFont val="Arial"/>
        <family val="0"/>
        <charset val="1"/>
      </rPr>
      <t xml:space="preserve">fullSync;</t>
    </r>
    <r>
      <rPr>
        <sz val="9"/>
        <rFont val="Noto Sans CJK SC"/>
        <family val="2"/>
      </rPr>
      <t xml:space="preserve">真实库切回证明跑通</t>
    </r>
  </si>
  <si>
    <r>
      <rPr>
        <sz val="9"/>
        <rFont val="Noto Sans CJK SC"/>
        <family val="2"/>
      </rPr>
      <t xml:space="preserve">真机</t>
    </r>
    <r>
      <rPr>
        <sz val="9"/>
        <rFont val="Arial"/>
        <family val="0"/>
        <charset val="1"/>
      </rPr>
      <t xml:space="preserve">:</t>
    </r>
    <r>
      <rPr>
        <sz val="9"/>
        <rFont val="Noto Sans CJK SC"/>
        <family val="2"/>
      </rPr>
      <t xml:space="preserve">不卡</t>
    </r>
    <r>
      <rPr>
        <sz val="9"/>
        <rFont val="Arial"/>
        <family val="0"/>
        <charset val="1"/>
      </rPr>
      <t xml:space="preserve">+</t>
    </r>
    <r>
      <rPr>
        <sz val="9"/>
        <rFont val="Noto Sans CJK SC"/>
        <family val="2"/>
      </rPr>
      <t xml:space="preserve">秒级收敛</t>
    </r>
    <r>
      <rPr>
        <sz val="9"/>
        <rFont val="Arial"/>
        <family val="0"/>
        <charset val="1"/>
      </rPr>
      <t xml:space="preserve">+</t>
    </r>
    <r>
      <rPr>
        <sz val="9"/>
        <rFont val="Noto Sans CJK SC"/>
        <family val="2"/>
      </rPr>
      <t xml:space="preserve">可切回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全 </t>
    </r>
    <r>
      <rPr>
        <sz val="9"/>
        <rFont val="Arial"/>
        <family val="0"/>
        <charset val="1"/>
      </rPr>
      <t xml:space="preserve">jsonl </t>
    </r>
    <r>
      <rPr>
        <sz val="9"/>
        <rFont val="Noto Sans CJK SC"/>
        <family val="2"/>
      </rPr>
      <t xml:space="preserve">证据</t>
    </r>
  </si>
  <si>
    <t xml:space="preserve">四域未全绿不得宣称完成</t>
  </si>
  <si>
    <r>
      <rPr>
        <b val="true"/>
        <sz val="12"/>
        <color rgb="FFFFFFFF"/>
        <rFont val="Arial"/>
        <family val="0"/>
        <charset val="1"/>
      </rPr>
      <t xml:space="preserve">R4 · </t>
    </r>
    <r>
      <rPr>
        <b val="true"/>
        <sz val="12"/>
        <color rgb="FFFFFFFF"/>
        <rFont val="Noto Sans CJK SC"/>
        <family val="2"/>
      </rPr>
      <t xml:space="preserve">让 </t>
    </r>
    <r>
      <rPr>
        <b val="true"/>
        <sz val="12"/>
        <color rgb="FFFFFFFF"/>
        <rFont val="Arial"/>
        <family val="0"/>
        <charset val="1"/>
      </rPr>
      <t xml:space="preserve">UI </t>
    </r>
    <r>
      <rPr>
        <b val="true"/>
        <sz val="12"/>
        <color rgb="FFFFFFFF"/>
        <rFont val="Noto Sans CJK SC"/>
        <family val="2"/>
      </rPr>
      <t xml:space="preserve">只读 </t>
    </r>
    <r>
      <rPr>
        <b val="true"/>
        <sz val="12"/>
        <color rgb="FFFFFFFF"/>
        <rFont val="Arial"/>
        <family val="0"/>
        <charset val="1"/>
      </rPr>
      <t xml:space="preserve">EffectiveSyncStatus(</t>
    </r>
    <r>
      <rPr>
        <b val="true"/>
        <sz val="12"/>
        <color rgb="FFFFFFFF"/>
        <rFont val="Noto Sans CJK SC"/>
        <family val="2"/>
      </rPr>
      <t xml:space="preserve">让状态收敛真正显示出来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</si>
  <si>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前置事实</t>
  </si>
  <si>
    <r>
      <rPr>
        <sz val="10"/>
        <rFont val="Noto Sans CJK SC"/>
        <family val="2"/>
      </rPr>
      <t xml:space="preserve">引擎已算</t>
    </r>
    <r>
      <rPr>
        <sz val="10"/>
        <rFont val="Arial"/>
        <family val="0"/>
        <charset val="1"/>
      </rPr>
      <t xml:space="preserve">:canonicalStatusTruthRuntime.effectiveStatus(for: facts) </t>
    </r>
    <r>
      <rPr>
        <sz val="10"/>
        <rFont val="Noto Sans CJK SC"/>
        <family val="2"/>
      </rPr>
      <t xml:space="preserve">在双端 </t>
    </r>
    <r>
      <rPr>
        <sz val="10"/>
        <rFont val="Arial"/>
        <family val="0"/>
        <charset val="1"/>
      </rPr>
      <t xml:space="preserve">StudyLibraryStore(:267/:279)</t>
    </r>
    <r>
      <rPr>
        <sz val="10"/>
        <rFont val="Noto Sans CJK SC"/>
        <family val="2"/>
      </rPr>
      <t xml:space="preserve">与协调器</t>
    </r>
    <r>
      <rPr>
        <sz val="10"/>
        <rFont val="Arial"/>
        <family val="0"/>
        <charset val="1"/>
      </rPr>
      <t xml:space="preserve">(:219)</t>
    </r>
    <r>
      <rPr>
        <sz val="10"/>
        <rFont val="Noto Sans CJK SC"/>
        <family val="2"/>
      </rPr>
      <t xml:space="preserve">产出</t>
    </r>
    <r>
      <rPr>
        <sz val="10"/>
        <rFont val="Arial"/>
        <family val="0"/>
        <charset val="1"/>
      </rPr>
      <t xml:space="preserve">;R5 </t>
    </r>
    <r>
      <rPr>
        <sz val="10"/>
        <rFont val="Noto Sans CJK SC"/>
        <family val="2"/>
      </rPr>
      <t xml:space="preserve">状态交换已跑。本轮只接 </t>
    </r>
    <r>
      <rPr>
        <sz val="10"/>
        <rFont val="Arial"/>
        <family val="0"/>
        <charset val="1"/>
      </rPr>
      <t xml:space="preserve">UI,</t>
    </r>
    <r>
      <rPr>
        <sz val="10"/>
        <rFont val="Noto Sans CJK SC"/>
        <family val="2"/>
      </rPr>
      <t xml:space="preserve">不加新类型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协议。</t>
    </r>
  </si>
  <si>
    <t xml:space="preserve">目标</t>
  </si>
  <si>
    <r>
      <rPr>
        <sz val="10"/>
        <rFont val="Noto Sans CJK SC"/>
        <family val="2"/>
      </rPr>
      <t xml:space="preserve">所有同步状态显示只来自 </t>
    </r>
    <r>
      <rPr>
        <sz val="10"/>
        <rFont val="Arial"/>
        <family val="0"/>
        <charset val="1"/>
      </rPr>
      <t xml:space="preserve">CanonicalEffectiveSyncStatus(</t>
    </r>
    <r>
      <rPr>
        <sz val="10"/>
        <rFont val="Noto Sans CJK SC"/>
        <family val="2"/>
      </rPr>
      <t xml:space="preserve">含 </t>
    </r>
    <r>
      <rPr>
        <sz val="10"/>
        <rFont val="Arial"/>
        <family val="0"/>
        <charset val="1"/>
      </rPr>
      <t xml:space="preserve">phase/displayState/proof),</t>
    </r>
    <r>
      <rPr>
        <sz val="10"/>
        <rFont val="Noto Sans CJK SC"/>
        <family val="2"/>
      </rPr>
      <t xml:space="preserve">删除从 </t>
    </r>
    <r>
      <rPr>
        <sz val="10"/>
        <rFont val="Arial"/>
        <family val="0"/>
        <charset val="1"/>
      </rPr>
      <t xml:space="preserve">uploadStatus / receiveStatus / </t>
    </r>
    <r>
      <rPr>
        <sz val="10"/>
        <rFont val="Noto Sans CJK SC"/>
        <family val="2"/>
      </rPr>
      <t xml:space="preserve">本地文件存在 </t>
    </r>
    <r>
      <rPr>
        <sz val="10"/>
        <rFont val="Arial"/>
        <family val="0"/>
        <charset val="1"/>
      </rPr>
      <t xml:space="preserve">/ metadataOnly ledger </t>
    </r>
    <r>
      <rPr>
        <sz val="10"/>
        <rFont val="Noto Sans CJK SC"/>
        <family val="2"/>
      </rPr>
      <t xml:space="preserve">多处拼状态。</t>
    </r>
  </si>
  <si>
    <t xml:space="preserve">要改文件</t>
  </si>
  <si>
    <r>
      <rPr>
        <sz val="10"/>
        <rFont val="Arial"/>
        <family val="0"/>
        <charset val="1"/>
      </rPr>
      <t xml:space="preserve">Rokurics: RecordingLibraryView.swift / RecordingStatusView.swift / RecordingStudyDetailPage.swift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RokuricsMac: MacStudyLibraryView.swift / MacAudioInboxView.swift / MacReceiverStatusCard.swift</t>
    </r>
  </si>
  <si>
    <r>
      <rPr>
        <b val="true"/>
        <sz val="10"/>
        <rFont val="Noto Sans CJK SC"/>
        <family val="2"/>
      </rPr>
      <t xml:space="preserve">做什么 </t>
    </r>
    <r>
      <rPr>
        <b val="true"/>
        <sz val="10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</si>
  <si>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双端 </t>
    </r>
    <r>
      <rPr>
        <sz val="10"/>
        <rFont val="Arial"/>
        <family val="0"/>
        <charset val="1"/>
      </rPr>
      <t xml:space="preserve">StudyLibraryStore </t>
    </r>
    <r>
      <rPr>
        <sz val="10"/>
        <rFont val="Noto Sans CJK SC"/>
        <family val="2"/>
      </rPr>
      <t xml:space="preserve">暴露可读入口</t>
    </r>
    <r>
      <rPr>
        <sz val="10"/>
        <rFont val="Arial"/>
        <family val="0"/>
        <charset val="1"/>
      </rPr>
      <t xml:space="preserve">:effectiveSyncStatus(for objectID)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@Published effectiveSyncStatusByObject(</t>
    </r>
    <r>
      <rPr>
        <sz val="10"/>
        <rFont val="Noto Sans CJK SC"/>
        <family val="2"/>
      </rPr>
      <t xml:space="preserve">由已存在的 </t>
    </r>
    <r>
      <rPr>
        <sz val="10"/>
        <rFont val="Arial"/>
        <family val="0"/>
        <charset val="1"/>
      </rPr>
      <t xml:space="preserve">effectiveStatus </t>
    </r>
    <r>
      <rPr>
        <sz val="10"/>
        <rFont val="Noto Sans CJK SC"/>
        <family val="2"/>
      </rPr>
      <t xml:space="preserve">结果缓存供给</t>
    </r>
    <r>
      <rPr>
        <sz val="10"/>
        <rFont val="Arial"/>
        <family val="0"/>
        <charset val="1"/>
      </rPr>
      <t xml:space="preserve">,UI </t>
    </r>
    <r>
      <rPr>
        <sz val="10"/>
        <rFont val="Noto Sans CJK SC"/>
        <family val="2"/>
      </rPr>
      <t xml:space="preserve">只读不触发重算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</si>
  <si>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做什么 </t>
    </r>
    <r>
      <rPr>
        <b val="true"/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</si>
  <si>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UI </t>
    </r>
    <r>
      <rPr>
        <sz val="10"/>
        <rFont val="Noto Sans CJK SC"/>
        <family val="2"/>
      </rPr>
      <t xml:space="preserve">的状态展示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待上传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上传中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已完成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冲突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处理中等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改为读 </t>
    </r>
    <r>
      <rPr>
        <sz val="10"/>
        <rFont val="Arial"/>
        <family val="0"/>
        <charset val="1"/>
      </rPr>
      <t xml:space="preserve">EffectiveSyncStatus.displayState + proof;</t>
    </r>
    <r>
      <rPr>
        <sz val="10"/>
        <rFont val="Noto Sans CJK SC"/>
        <family val="2"/>
      </rPr>
      <t xml:space="preserve">不再自行拼。</t>
    </r>
  </si>
  <si>
    <r>
      <rPr>
        <b val="true"/>
        <sz val="10"/>
        <rFont val="Noto Sans CJK SC"/>
        <family val="2"/>
      </rPr>
      <t xml:space="preserve">做什么 </t>
    </r>
    <r>
      <rPr>
        <b val="true"/>
        <sz val="10"/>
        <rFont val="Arial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</si>
  <si>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执行规格 </t>
    </r>
    <r>
      <rPr>
        <sz val="10"/>
        <rFont val="Arial"/>
        <family val="0"/>
        <charset val="1"/>
      </rPr>
      <t xml:space="preserve">§7.3 </t>
    </r>
    <r>
      <rPr>
        <sz val="10"/>
        <rFont val="Noto Sans CJK SC"/>
        <family val="2"/>
      </rPr>
      <t xml:space="preserve">硬规则</t>
    </r>
    <r>
      <rPr>
        <sz val="10"/>
        <rFont val="Arial"/>
        <family val="0"/>
        <charset val="1"/>
      </rPr>
      <t xml:space="preserve">:metadataOnly≠completed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partialReceive≠completed</t>
    </r>
    <r>
      <rPr>
        <sz val="10"/>
        <rFont val="Noto Sans CJK SC"/>
        <family val="2"/>
      </rPr>
      <t xml:space="preserve">、本地文件存在≠</t>
    </r>
    <r>
      <rPr>
        <sz val="10"/>
        <rFont val="Arial"/>
        <family val="0"/>
        <charset val="1"/>
      </rPr>
      <t xml:space="preserve">peer </t>
    </r>
    <r>
      <rPr>
        <sz val="10"/>
        <rFont val="Noto Sans CJK SC"/>
        <family val="2"/>
      </rPr>
      <t xml:space="preserve">有、无 </t>
    </r>
    <r>
      <rPr>
        <sz val="10"/>
        <rFont val="Arial"/>
        <family val="0"/>
        <charset val="1"/>
      </rPr>
      <t xml:space="preserve">peer proof </t>
    </r>
    <r>
      <rPr>
        <sz val="10"/>
        <rFont val="Noto Sans CJK SC"/>
        <family val="2"/>
      </rPr>
      <t xml:space="preserve">不得显示 </t>
    </r>
    <r>
      <rPr>
        <sz val="10"/>
        <rFont val="Arial"/>
        <family val="0"/>
        <charset val="1"/>
      </rPr>
      <t xml:space="preserve">completed</t>
    </r>
    <r>
      <rPr>
        <sz val="1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</si>
  <si>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验收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编译</t>
    </r>
  </si>
  <si>
    <r>
      <rPr>
        <sz val="10"/>
        <rFont val="Noto Sans CJK SC"/>
        <family val="2"/>
      </rPr>
      <t xml:space="preserve">构建零 </t>
    </r>
    <r>
      <rPr>
        <sz val="10"/>
        <rFont val="Arial"/>
        <family val="0"/>
        <charset val="1"/>
      </rPr>
      <t xml:space="preserve">error;grep </t>
    </r>
    <r>
      <rPr>
        <sz val="10"/>
        <rFont val="Noto Sans CJK SC"/>
        <family val="2"/>
      </rPr>
      <t xml:space="preserve">确认上述 </t>
    </r>
    <r>
      <rPr>
        <sz val="10"/>
        <rFont val="Arial"/>
        <family val="0"/>
        <charset val="1"/>
      </rPr>
      <t xml:space="preserve">View </t>
    </r>
    <r>
      <rPr>
        <sz val="10"/>
        <rFont val="Noto Sans CJK SC"/>
        <family val="2"/>
      </rPr>
      <t xml:space="preserve">不再直接读 </t>
    </r>
    <r>
      <rPr>
        <sz val="10"/>
        <rFont val="Arial"/>
        <family val="0"/>
        <charset val="1"/>
      </rPr>
      <t xml:space="preserve">uploadStatus/receiveStatus </t>
    </r>
    <r>
      <rPr>
        <sz val="10"/>
        <rFont val="Noto Sans CJK SC"/>
        <family val="2"/>
      </rPr>
      <t xml:space="preserve">拼接显示状态。</t>
    </r>
  </si>
  <si>
    <r>
      <rPr>
        <b val="true"/>
        <sz val="10"/>
        <rFont val="Noto Sans CJK SC"/>
        <family val="2"/>
      </rPr>
      <t xml:space="preserve">验收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真机</t>
    </r>
  </si>
  <si>
    <r>
      <rPr>
        <sz val="10"/>
        <rFont val="Noto Sans CJK SC"/>
        <family val="2"/>
      </rPr>
      <t xml:space="preserve">① 两端对同一项显示一致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改一端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另一端秒级显示同状态</t>
    </r>
    <r>
      <rPr>
        <sz val="10"/>
        <rFont val="Arial"/>
        <family val="0"/>
        <charset val="1"/>
      </rPr>
      <t xml:space="preserve">);② </t>
    </r>
    <r>
      <rPr>
        <sz val="10"/>
        <rFont val="Noto Sans CJK SC"/>
        <family val="2"/>
      </rPr>
      <t xml:space="preserve">未上传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未确认项不显示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完成</t>
    </r>
    <r>
      <rPr>
        <sz val="10"/>
        <rFont val="Arial"/>
        <family val="0"/>
        <charset val="1"/>
      </rPr>
      <t xml:space="preserve">';③ </t>
    </r>
    <r>
      <rPr>
        <sz val="10"/>
        <rFont val="Noto Sans CJK SC"/>
        <family val="2"/>
      </rPr>
      <t xml:space="preserve">状态切换有对应 </t>
    </r>
    <r>
      <rPr>
        <sz val="10"/>
        <rFont val="Arial"/>
        <family val="0"/>
        <charset val="1"/>
      </rPr>
      <t xml:space="preserve">proof(</t>
    </r>
    <r>
      <rPr>
        <sz val="10"/>
        <rFont val="Noto Sans CJK SC"/>
        <family val="2"/>
      </rPr>
      <t xml:space="preserve">看 </t>
    </r>
    <r>
      <rPr>
        <sz val="10"/>
        <rFont val="Arial"/>
        <family val="0"/>
        <charset val="1"/>
      </rPr>
      <t xml:space="preserve">statusFactProduced/finalizeProofAccepted </t>
    </r>
    <r>
      <rPr>
        <sz val="10"/>
        <rFont val="Noto Sans CJK SC"/>
        <family val="2"/>
      </rPr>
      <t xml:space="preserve">诊断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</si>
  <si>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不准</t>
  </si>
  <si>
    <r>
      <rPr>
        <sz val="10"/>
        <rFont val="Noto Sans CJK SC"/>
        <family val="2"/>
      </rPr>
      <t xml:space="preserve">不新增状态来源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不绕过 </t>
    </r>
    <r>
      <rPr>
        <sz val="10"/>
        <rFont val="Arial"/>
        <family val="0"/>
        <charset val="1"/>
      </rPr>
      <t xml:space="preserve">proof;</t>
    </r>
    <r>
      <rPr>
        <sz val="10"/>
        <rFont val="Noto Sans CJK SC"/>
        <family val="2"/>
      </rPr>
      <t xml:space="preserve">不在 </t>
    </r>
    <r>
      <rPr>
        <sz val="10"/>
        <rFont val="Arial"/>
        <family val="0"/>
        <charset val="1"/>
      </rPr>
      <t xml:space="preserve">MainActor </t>
    </r>
    <r>
      <rPr>
        <sz val="10"/>
        <rFont val="Noto Sans CJK SC"/>
        <family val="2"/>
      </rPr>
      <t xml:space="preserve">上重算 </t>
    </r>
    <r>
      <rPr>
        <sz val="10"/>
        <rFont val="Arial"/>
        <family val="0"/>
        <charset val="1"/>
      </rPr>
      <t xml:space="preserve">effectiveStatus(</t>
    </r>
    <r>
      <rPr>
        <sz val="10"/>
        <rFont val="Noto Sans CJK SC"/>
        <family val="2"/>
      </rPr>
      <t xml:space="preserve">只读已缓存结果</t>
    </r>
    <r>
      <rPr>
        <sz val="10"/>
        <rFont val="Arial"/>
        <family val="0"/>
        <charset val="1"/>
      </rPr>
      <t xml:space="preserve">);</t>
    </r>
    <r>
      <rPr>
        <sz val="10"/>
        <rFont val="Noto Sans CJK SC"/>
        <family val="2"/>
      </rPr>
      <t xml:space="preserve">不加新类型</t>
    </r>
    <r>
      <rPr>
        <sz val="10"/>
        <rFont val="Arial"/>
        <family val="0"/>
        <charset val="1"/>
      </rPr>
      <t xml:space="preserve">/route;</t>
    </r>
    <r>
      <rPr>
        <sz val="10"/>
        <rFont val="Noto Sans CJK SC"/>
        <family val="2"/>
      </rPr>
      <t xml:space="preserve">默认仍 </t>
    </r>
    <r>
      <rPr>
        <sz val="10"/>
        <rFont val="Arial"/>
        <family val="0"/>
        <charset val="1"/>
      </rPr>
      <t xml:space="preserve">oldKernel</t>
    </r>
    <r>
      <rPr>
        <sz val="10"/>
        <rFont val="Noto Sans CJK SC"/>
        <family val="2"/>
      </rPr>
      <t xml:space="preserve">。</t>
    </r>
  </si>
  <si>
    <t xml:space="preserve">应建组件</t>
  </si>
  <si>
    <r>
      <rPr>
        <b val="true"/>
        <sz val="11"/>
        <color rgb="FFFFFFFF"/>
        <rFont val="Noto Sans CJK SC"/>
        <family val="2"/>
      </rPr>
      <t xml:space="preserve">已完成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加权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</si>
  <si>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完成度</t>
    </r>
    <r>
      <rPr>
        <b val="true"/>
        <sz val="11"/>
        <color rgb="FFFFFFFF"/>
        <rFont val="Arial"/>
        <family val="0"/>
        <charset val="1"/>
      </rPr>
      <t xml:space="preserve">%</t>
    </r>
  </si>
  <si>
    <t xml:space="preserve">本轮变化</t>
  </si>
  <si>
    <r>
      <rPr>
        <sz val="10"/>
        <rFont val="Noto Sans CJK SC"/>
        <family val="2"/>
      </rPr>
      <t xml:space="preserve">未变</t>
    </r>
    <r>
      <rPr>
        <sz val="10"/>
        <rFont val="Arial"/>
        <family val="0"/>
        <charset val="1"/>
      </rPr>
      <t xml:space="preserve">(R6 </t>
    </r>
    <r>
      <rPr>
        <sz val="10"/>
        <rFont val="Noto Sans CJK SC"/>
        <family val="2"/>
      </rPr>
      <t xml:space="preserve">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</si>
  <si>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🆙 R2</t>
    </r>
    <r>
      <rPr>
        <sz val="10"/>
        <rFont val="Noto Sans CJK SC"/>
        <family val="2"/>
      </rPr>
      <t xml:space="preserve">缓存</t>
    </r>
    <r>
      <rPr>
        <sz val="10"/>
        <rFont val="Arial"/>
        <family val="0"/>
        <charset val="1"/>
      </rPr>
      <t xml:space="preserve">+R5</t>
    </r>
    <r>
      <rPr>
        <sz val="10"/>
        <rFont val="Noto Sans CJK SC"/>
        <family val="2"/>
      </rPr>
      <t xml:space="preserve">交换</t>
    </r>
  </si>
  <si>
    <r>
      <rPr>
        <sz val="10"/>
        <rFont val="Noto Sans CJK SC"/>
        <family val="2"/>
      </rPr>
      <t xml:space="preserve">🆙 大涨</t>
    </r>
    <r>
      <rPr>
        <sz val="10"/>
        <rFont val="Arial"/>
        <family val="0"/>
        <charset val="1"/>
      </rPr>
      <t xml:space="preserve">:R1+R2 </t>
    </r>
    <r>
      <rPr>
        <sz val="10"/>
        <rFont val="Noto Sans CJK SC"/>
        <family val="2"/>
      </rPr>
      <t xml:space="preserve">灭卡死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小卡顿</t>
    </r>
  </si>
  <si>
    <t xml:space="preserve">合计</t>
  </si>
  <si>
    <r>
      <rPr>
        <b val="true"/>
        <sz val="10"/>
        <rFont val="Noto Sans CJK SC"/>
        <family val="2"/>
      </rPr>
      <t xml:space="preserve">卡顿根因已修</t>
    </r>
    <r>
      <rPr>
        <b val="true"/>
        <sz val="10"/>
        <rFont val="Arial"/>
        <family val="0"/>
        <charset val="1"/>
      </rPr>
      <t xml:space="preserve">;</t>
    </r>
    <r>
      <rPr>
        <b val="true"/>
        <sz val="10"/>
        <rFont val="Noto Sans CJK SC"/>
        <family val="2"/>
      </rPr>
      <t xml:space="preserve">收敛差 </t>
    </r>
    <r>
      <rPr>
        <b val="true"/>
        <sz val="10"/>
        <rFont val="Arial"/>
        <family val="0"/>
        <charset val="1"/>
      </rPr>
      <t xml:space="preserve">R4(UI </t>
    </r>
    <r>
      <rPr>
        <b val="true"/>
        <sz val="10"/>
        <rFont val="Noto Sans CJK SC"/>
        <family val="2"/>
      </rPr>
      <t xml:space="preserve">读 </t>
    </r>
    <r>
      <rPr>
        <b val="true"/>
        <sz val="10"/>
        <rFont val="Arial"/>
        <family val="0"/>
        <charset val="1"/>
      </rPr>
      <t xml:space="preserve">EffectiveSyncStatus)</t>
    </r>
    <r>
      <rPr>
        <b val="true"/>
        <sz val="10"/>
        <rFont val="Noto Sans CJK SC"/>
        <family val="2"/>
      </rPr>
      <t xml:space="preserve">这最后一步</t>
    </r>
  </si>
  <si>
    <r>
      <rPr>
        <sz val="9"/>
        <rFont val="Noto Sans CJK SC"/>
        <family val="2"/>
      </rPr>
      <t xml:space="preserve">• 权重</t>
    </r>
    <r>
      <rPr>
        <sz val="9"/>
        <rFont val="Arial"/>
        <family val="0"/>
        <charset val="1"/>
      </rPr>
      <t xml:space="preserve">:✅=1,🟡=0.5,❌=0,⏸legacy=</t>
    </r>
    <r>
      <rPr>
        <sz val="9"/>
        <rFont val="Noto Sans CJK SC"/>
        <family val="2"/>
      </rPr>
      <t xml:space="preserve">不计。</t>
    </r>
  </si>
  <si>
    <r>
      <rPr>
        <sz val="9"/>
        <rFont val="Arial"/>
        <family val="0"/>
        <charset val="1"/>
      </rPr>
      <t xml:space="preserve">• 🆙=</t>
    </r>
    <r>
      <rPr>
        <sz val="9"/>
        <rFont val="Noto Sans CJK SC"/>
        <family val="2"/>
      </rPr>
      <t xml:space="preserve">本轮</t>
    </r>
    <r>
      <rPr>
        <sz val="9"/>
        <rFont val="Arial"/>
        <family val="0"/>
        <charset val="1"/>
      </rPr>
      <t xml:space="preserve">(6/15)Codex </t>
    </r>
    <r>
      <rPr>
        <sz val="9"/>
        <rFont val="Noto Sans CJK SC"/>
        <family val="2"/>
      </rPr>
      <t xml:space="preserve">真改的项</t>
    </r>
    <r>
      <rPr>
        <sz val="9"/>
        <rFont val="Arial"/>
        <family val="0"/>
        <charset val="1"/>
      </rPr>
      <t xml:space="preserve">(R1/R2/R5)</t>
    </r>
    <r>
      <rPr>
        <sz val="9"/>
        <rFont val="Noto Sans CJK SC"/>
        <family val="2"/>
      </rPr>
      <t xml:space="preserve">。</t>
    </r>
  </si>
  <si>
    <r>
      <rPr>
        <sz val="9"/>
        <rFont val="Noto Sans CJK SC"/>
        <family val="2"/>
      </rPr>
      <t xml:space="preserve">• 卡顿</t>
    </r>
    <r>
      <rPr>
        <sz val="9"/>
        <rFont val="Arial"/>
        <family val="0"/>
        <charset val="1"/>
      </rPr>
      <t xml:space="preserve">(R1+R2)</t>
    </r>
    <r>
      <rPr>
        <sz val="9"/>
        <rFont val="Noto Sans CJK SC"/>
        <family val="2"/>
      </rPr>
      <t xml:space="preserve">代码已修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需你真机确认</t>
    </r>
    <r>
      <rPr>
        <sz val="9"/>
        <rFont val="Arial"/>
        <family val="0"/>
        <charset val="1"/>
      </rPr>
      <t xml:space="preserve">;</t>
    </r>
    <r>
      <rPr>
        <sz val="9"/>
        <rFont val="Noto Sans CJK SC"/>
        <family val="2"/>
      </rPr>
      <t xml:space="preserve">收敛卡在 </t>
    </r>
    <r>
      <rPr>
        <sz val="9"/>
        <rFont val="Arial"/>
        <family val="0"/>
        <charset val="1"/>
      </rPr>
      <t xml:space="preserve">R4(UI </t>
    </r>
    <r>
      <rPr>
        <sz val="9"/>
        <rFont val="Noto Sans CJK SC"/>
        <family val="2"/>
      </rPr>
      <t xml:space="preserve">未读 </t>
    </r>
    <r>
      <rPr>
        <sz val="9"/>
        <rFont val="Arial"/>
        <family val="0"/>
        <charset val="1"/>
      </rPr>
      <t xml:space="preserve">EffectiveSyncStatus)</t>
    </r>
    <r>
      <rPr>
        <sz val="9"/>
        <rFont val="Noto Sans CJK SC"/>
        <family val="2"/>
      </rPr>
      <t xml:space="preserve">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</si>
</sst>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Noto Sans CJK SC"/>
      <family val="2"/>
    </font>
    <font>
      <sz val="9"/>
      <name val="Arial"/>
      <family val="0"/>
      <charset val="1"/>
    </font>
    <font>
      <b val="true"/>
      <sz val="9"/>
      <name val="Noto Sans CJK SC"/>
      <family val="2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FFFFFF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7E6E6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E7E6E6"/>
      </patternFill>
    </fill>
    <fill>
      <patternFill patternType="solid">
        <fgColor rgb="FFFFEB9C"/>
        <bgColor rgb="FFFFF2CC"/>
      </patternFill>
    </fill>
    <fill>
      <patternFill patternType="solid">
        <fgColor rgb="FFE7E6E6"/>
        <bgColor rgb="FFD9E1F2"/>
      </patternFill>
    </fill>
    <fill>
      <patternFill patternType="solid">
        <fgColor rgb="FFBDD7EE"/>
        <bgColor rgb="FFD9E1F2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8"/>
    <col collapsed="false" customWidth="true" hidden="false" outlineLevel="0" max="7" min="7" style="0" width="40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9.75" hidden="false" customHeight="true" outlineLevel="0" collapsed="false">
      <c r="A2" s="2" t="s">
        <v>7</v>
      </c>
      <c r="B2" s="3" t="s">
        <v>8</v>
      </c>
      <c r="C2" s="4" t="s">
        <v>9</v>
      </c>
      <c r="D2" s="5" t="s">
        <v>10</v>
      </c>
      <c r="E2" s="6" t="s">
        <v>11</v>
      </c>
      <c r="F2" s="7" t="n">
        <v>0.5</v>
      </c>
      <c r="G2" s="3" t="s">
        <v>12</v>
      </c>
    </row>
    <row r="3" customFormat="false" ht="39.75" hidden="false" customHeight="true" outlineLevel="0" collapsed="false">
      <c r="A3" s="2" t="s">
        <v>7</v>
      </c>
      <c r="B3" s="3" t="s">
        <v>13</v>
      </c>
      <c r="C3" s="4" t="s">
        <v>14</v>
      </c>
      <c r="D3" s="5" t="s">
        <v>10</v>
      </c>
      <c r="E3" s="8" t="s">
        <v>15</v>
      </c>
      <c r="F3" s="7" t="n">
        <v>0.5</v>
      </c>
      <c r="G3" s="3" t="s">
        <v>16</v>
      </c>
    </row>
    <row r="4" customFormat="false" ht="39.75" hidden="false" customHeight="true" outlineLevel="0" collapsed="false">
      <c r="A4" s="2" t="s">
        <v>7</v>
      </c>
      <c r="B4" s="3" t="s">
        <v>17</v>
      </c>
      <c r="C4" s="4" t="s">
        <v>18</v>
      </c>
      <c r="D4" s="9" t="s">
        <v>19</v>
      </c>
      <c r="E4" s="10" t="s">
        <v>20</v>
      </c>
      <c r="F4" s="7" t="n">
        <v>1</v>
      </c>
      <c r="G4" s="4" t="s">
        <v>21</v>
      </c>
    </row>
    <row r="5" customFormat="false" ht="39.75" hidden="false" customHeight="true" outlineLevel="0" collapsed="false">
      <c r="A5" s="2" t="s">
        <v>7</v>
      </c>
      <c r="B5" s="4" t="s">
        <v>22</v>
      </c>
      <c r="C5" s="4" t="s">
        <v>23</v>
      </c>
      <c r="D5" s="9" t="s">
        <v>19</v>
      </c>
      <c r="E5" s="11" t="s">
        <v>24</v>
      </c>
      <c r="F5" s="7"/>
      <c r="G5" s="4" t="s">
        <v>25</v>
      </c>
    </row>
    <row r="6" customFormat="false" ht="39.75" hidden="false" customHeight="true" outlineLevel="0" collapsed="false">
      <c r="A6" s="2" t="s">
        <v>26</v>
      </c>
      <c r="B6" s="3" t="s">
        <v>27</v>
      </c>
      <c r="C6" s="4" t="s">
        <v>28</v>
      </c>
      <c r="D6" s="5" t="s">
        <v>10</v>
      </c>
      <c r="E6" s="12" t="s">
        <v>29</v>
      </c>
      <c r="F6" s="7" t="n">
        <v>0.5</v>
      </c>
      <c r="G6" s="3" t="s">
        <v>16</v>
      </c>
    </row>
    <row r="7" customFormat="false" ht="39.75" hidden="false" customHeight="true" outlineLevel="0" collapsed="false">
      <c r="A7" s="2" t="s">
        <v>26</v>
      </c>
      <c r="B7" s="3" t="s">
        <v>30</v>
      </c>
      <c r="C7" s="4" t="s">
        <v>31</v>
      </c>
      <c r="D7" s="5" t="s">
        <v>10</v>
      </c>
      <c r="E7" s="8" t="s">
        <v>32</v>
      </c>
      <c r="F7" s="7" t="n">
        <v>0.5</v>
      </c>
      <c r="G7" s="3" t="s">
        <v>33</v>
      </c>
    </row>
    <row r="8" customFormat="false" ht="39.75" hidden="false" customHeight="true" outlineLevel="0" collapsed="false">
      <c r="A8" s="2" t="s">
        <v>26</v>
      </c>
      <c r="B8" s="3" t="s">
        <v>34</v>
      </c>
      <c r="C8" s="4" t="s">
        <v>35</v>
      </c>
      <c r="D8" s="5" t="s">
        <v>10</v>
      </c>
      <c r="E8" s="10" t="s">
        <v>36</v>
      </c>
      <c r="F8" s="7" t="n">
        <v>1</v>
      </c>
      <c r="G8" s="3" t="s">
        <v>37</v>
      </c>
    </row>
    <row r="9" customFormat="false" ht="39.75" hidden="false" customHeight="true" outlineLevel="0" collapsed="false">
      <c r="A9" s="2" t="s">
        <v>26</v>
      </c>
      <c r="B9" s="3" t="s">
        <v>38</v>
      </c>
      <c r="C9" s="4" t="s">
        <v>39</v>
      </c>
      <c r="D9" s="13" t="s">
        <v>40</v>
      </c>
      <c r="E9" s="6" t="s">
        <v>41</v>
      </c>
      <c r="F9" s="7" t="n">
        <v>0.5</v>
      </c>
      <c r="G9" s="3" t="s">
        <v>16</v>
      </c>
    </row>
    <row r="10" customFormat="false" ht="39.75" hidden="false" customHeight="true" outlineLevel="0" collapsed="false">
      <c r="A10" s="2" t="s">
        <v>26</v>
      </c>
      <c r="B10" s="3" t="s">
        <v>42</v>
      </c>
      <c r="C10" s="4" t="s">
        <v>43</v>
      </c>
      <c r="D10" s="5" t="s">
        <v>10</v>
      </c>
      <c r="E10" s="9" t="s">
        <v>19</v>
      </c>
      <c r="F10" s="7" t="n">
        <v>0.5</v>
      </c>
      <c r="G10" s="3" t="s">
        <v>16</v>
      </c>
    </row>
    <row r="11" customFormat="false" ht="39.75" hidden="false" customHeight="true" outlineLevel="0" collapsed="false">
      <c r="A11" s="2" t="s">
        <v>26</v>
      </c>
      <c r="B11" s="4" t="s">
        <v>44</v>
      </c>
      <c r="C11" s="4" t="s">
        <v>45</v>
      </c>
      <c r="D11" s="9" t="s">
        <v>19</v>
      </c>
      <c r="E11" s="11" t="s">
        <v>24</v>
      </c>
      <c r="F11" s="7"/>
      <c r="G11" s="4" t="s">
        <v>46</v>
      </c>
    </row>
    <row r="12" customFormat="false" ht="39.75" hidden="false" customHeight="true" outlineLevel="0" collapsed="false">
      <c r="A12" s="2" t="s">
        <v>47</v>
      </c>
      <c r="B12" s="3" t="s">
        <v>48</v>
      </c>
      <c r="C12" s="4" t="s">
        <v>49</v>
      </c>
      <c r="D12" s="5" t="s">
        <v>10</v>
      </c>
      <c r="E12" s="5" t="s">
        <v>10</v>
      </c>
      <c r="F12" s="7" t="n">
        <v>1</v>
      </c>
      <c r="G12" s="3" t="s">
        <v>50</v>
      </c>
    </row>
    <row r="13" customFormat="false" ht="39.75" hidden="false" customHeight="true" outlineLevel="0" collapsed="false">
      <c r="A13" s="2" t="s">
        <v>47</v>
      </c>
      <c r="B13" s="3" t="s">
        <v>51</v>
      </c>
      <c r="C13" s="4" t="s">
        <v>52</v>
      </c>
      <c r="D13" s="5" t="s">
        <v>10</v>
      </c>
      <c r="E13" s="10" t="s">
        <v>53</v>
      </c>
      <c r="F13" s="7" t="n">
        <v>1</v>
      </c>
      <c r="G13" s="14" t="s">
        <v>54</v>
      </c>
    </row>
    <row r="14" customFormat="false" ht="39.75" hidden="false" customHeight="true" outlineLevel="0" collapsed="false">
      <c r="A14" s="2" t="s">
        <v>47</v>
      </c>
      <c r="B14" s="3" t="s">
        <v>55</v>
      </c>
      <c r="C14" s="4" t="s">
        <v>56</v>
      </c>
      <c r="D14" s="5" t="s">
        <v>10</v>
      </c>
      <c r="E14" s="5" t="s">
        <v>10</v>
      </c>
      <c r="F14" s="7" t="n">
        <v>1</v>
      </c>
      <c r="G14" s="3" t="s">
        <v>16</v>
      </c>
    </row>
    <row r="15" customFormat="false" ht="39.75" hidden="false" customHeight="true" outlineLevel="0" collapsed="false">
      <c r="A15" s="2" t="s">
        <v>47</v>
      </c>
      <c r="B15" s="3" t="s">
        <v>57</v>
      </c>
      <c r="C15" s="4" t="s">
        <v>58</v>
      </c>
      <c r="D15" s="5" t="s">
        <v>10</v>
      </c>
      <c r="E15" s="8" t="s">
        <v>59</v>
      </c>
      <c r="F15" s="7" t="n">
        <v>0.5</v>
      </c>
      <c r="G15" s="4" t="s">
        <v>60</v>
      </c>
    </row>
    <row r="16" customFormat="false" ht="39.75" hidden="false" customHeight="true" outlineLevel="0" collapsed="false">
      <c r="A16" s="2" t="s">
        <v>47</v>
      </c>
      <c r="B16" s="3" t="s">
        <v>61</v>
      </c>
      <c r="C16" s="4" t="s">
        <v>62</v>
      </c>
      <c r="D16" s="5" t="s">
        <v>10</v>
      </c>
      <c r="E16" s="10" t="s">
        <v>63</v>
      </c>
      <c r="F16" s="7" t="n">
        <v>1</v>
      </c>
      <c r="G16" s="14" t="s">
        <v>64</v>
      </c>
    </row>
    <row r="17" customFormat="false" ht="39.75" hidden="false" customHeight="true" outlineLevel="0" collapsed="false">
      <c r="A17" s="2" t="s">
        <v>47</v>
      </c>
      <c r="B17" s="4" t="s">
        <v>65</v>
      </c>
      <c r="C17" s="4" t="s">
        <v>66</v>
      </c>
      <c r="D17" s="5" t="s">
        <v>10</v>
      </c>
      <c r="E17" s="8" t="s">
        <v>32</v>
      </c>
      <c r="F17" s="7" t="n">
        <v>0.5</v>
      </c>
      <c r="G17" s="3" t="s">
        <v>16</v>
      </c>
    </row>
    <row r="18" customFormat="false" ht="39.75" hidden="false" customHeight="true" outlineLevel="0" collapsed="false">
      <c r="A18" s="2" t="s">
        <v>47</v>
      </c>
      <c r="B18" s="3" t="s">
        <v>67</v>
      </c>
      <c r="C18" s="4" t="s">
        <v>68</v>
      </c>
      <c r="D18" s="5" t="s">
        <v>10</v>
      </c>
      <c r="E18" s="5" t="s">
        <v>69</v>
      </c>
      <c r="F18" s="7" t="n">
        <v>1</v>
      </c>
      <c r="G18" s="3" t="s">
        <v>16</v>
      </c>
    </row>
    <row r="19" customFormat="false" ht="39.75" hidden="false" customHeight="true" outlineLevel="0" collapsed="false">
      <c r="A19" s="2" t="s">
        <v>70</v>
      </c>
      <c r="B19" s="3" t="s">
        <v>71</v>
      </c>
      <c r="C19" s="4" t="s">
        <v>72</v>
      </c>
      <c r="D19" s="5" t="s">
        <v>10</v>
      </c>
      <c r="E19" s="12" t="s">
        <v>29</v>
      </c>
      <c r="F19" s="7" t="n">
        <v>0.5</v>
      </c>
      <c r="G19" s="3" t="s">
        <v>16</v>
      </c>
    </row>
    <row r="20" customFormat="false" ht="39.75" hidden="false" customHeight="true" outlineLevel="0" collapsed="false">
      <c r="A20" s="2" t="s">
        <v>70</v>
      </c>
      <c r="B20" s="3" t="s">
        <v>73</v>
      </c>
      <c r="C20" s="4" t="s">
        <v>74</v>
      </c>
      <c r="D20" s="5" t="s">
        <v>10</v>
      </c>
      <c r="E20" s="13" t="s">
        <v>75</v>
      </c>
      <c r="F20" s="7" t="n">
        <v>0.5</v>
      </c>
      <c r="G20" s="4" t="s">
        <v>76</v>
      </c>
    </row>
    <row r="21" customFormat="false" ht="39.75" hidden="false" customHeight="true" outlineLevel="0" collapsed="false">
      <c r="A21" s="2" t="s">
        <v>70</v>
      </c>
      <c r="B21" s="4" t="s">
        <v>77</v>
      </c>
      <c r="C21" s="4" t="s">
        <v>78</v>
      </c>
      <c r="D21" s="5" t="s">
        <v>10</v>
      </c>
      <c r="E21" s="5" t="s">
        <v>10</v>
      </c>
      <c r="F21" s="7" t="n">
        <v>1</v>
      </c>
      <c r="G21" s="3" t="s">
        <v>16</v>
      </c>
    </row>
    <row r="22" customFormat="false" ht="39.75" hidden="false" customHeight="true" outlineLevel="0" collapsed="false">
      <c r="A22" s="2" t="s">
        <v>70</v>
      </c>
      <c r="B22" s="3" t="s">
        <v>79</v>
      </c>
      <c r="C22" s="4" t="s">
        <v>80</v>
      </c>
      <c r="D22" s="5" t="s">
        <v>10</v>
      </c>
      <c r="E22" s="8" t="s">
        <v>81</v>
      </c>
      <c r="F22" s="7" t="n">
        <v>0.5</v>
      </c>
      <c r="G22" s="4" t="s">
        <v>82</v>
      </c>
    </row>
    <row r="23" customFormat="false" ht="39.75" hidden="false" customHeight="true" outlineLevel="0" collapsed="false">
      <c r="A23" s="2" t="s">
        <v>70</v>
      </c>
      <c r="B23" s="3" t="s">
        <v>83</v>
      </c>
      <c r="C23" s="4" t="s">
        <v>84</v>
      </c>
      <c r="D23" s="5" t="s">
        <v>10</v>
      </c>
      <c r="E23" s="10" t="s">
        <v>85</v>
      </c>
      <c r="F23" s="7" t="n">
        <v>1</v>
      </c>
      <c r="G23" s="14" t="s">
        <v>86</v>
      </c>
    </row>
    <row r="24" customFormat="false" ht="39.75" hidden="false" customHeight="true" outlineLevel="0" collapsed="false">
      <c r="A24" s="2" t="s">
        <v>70</v>
      </c>
      <c r="B24" s="3" t="s">
        <v>87</v>
      </c>
      <c r="C24" s="4" t="s">
        <v>88</v>
      </c>
      <c r="D24" s="5" t="s">
        <v>10</v>
      </c>
      <c r="E24" s="10" t="s">
        <v>89</v>
      </c>
      <c r="F24" s="7" t="n">
        <v>1</v>
      </c>
      <c r="G24" s="14" t="s">
        <v>90</v>
      </c>
    </row>
    <row r="25" customFormat="false" ht="39.75" hidden="false" customHeight="true" outlineLevel="0" collapsed="false">
      <c r="A25" s="2" t="s">
        <v>70</v>
      </c>
      <c r="B25" s="3" t="s">
        <v>91</v>
      </c>
      <c r="C25" s="4" t="s">
        <v>92</v>
      </c>
      <c r="D25" s="9" t="s">
        <v>19</v>
      </c>
      <c r="E25" s="5" t="s">
        <v>93</v>
      </c>
      <c r="F25" s="7" t="n">
        <v>1</v>
      </c>
      <c r="G25" s="14" t="s">
        <v>94</v>
      </c>
    </row>
    <row r="26" customFormat="false" ht="39.75" hidden="false" customHeight="true" outlineLevel="0" collapsed="false">
      <c r="A26" s="2" t="s">
        <v>70</v>
      </c>
      <c r="B26" s="4" t="s">
        <v>95</v>
      </c>
      <c r="C26" s="4" t="s">
        <v>96</v>
      </c>
      <c r="D26" s="9" t="s">
        <v>19</v>
      </c>
      <c r="E26" s="11" t="s">
        <v>24</v>
      </c>
      <c r="F26" s="7"/>
      <c r="G26" s="3" t="s">
        <v>97</v>
      </c>
    </row>
    <row r="27" customFormat="false" ht="39.75" hidden="false" customHeight="true" outlineLevel="0" collapsed="false">
      <c r="A27" s="15" t="s">
        <v>98</v>
      </c>
      <c r="B27" s="3" t="s">
        <v>99</v>
      </c>
      <c r="C27" s="4" t="s">
        <v>100</v>
      </c>
      <c r="D27" s="5" t="s">
        <v>10</v>
      </c>
      <c r="E27" s="10" t="s">
        <v>101</v>
      </c>
      <c r="F27" s="7" t="n">
        <v>1</v>
      </c>
      <c r="G27" s="4" t="s">
        <v>102</v>
      </c>
    </row>
    <row r="28" customFormat="false" ht="39.75" hidden="false" customHeight="true" outlineLevel="0" collapsed="false">
      <c r="A28" s="15" t="s">
        <v>98</v>
      </c>
      <c r="B28" s="3" t="s">
        <v>103</v>
      </c>
      <c r="C28" s="4" t="s">
        <v>104</v>
      </c>
      <c r="D28" s="5" t="s">
        <v>10</v>
      </c>
      <c r="E28" s="13" t="s">
        <v>40</v>
      </c>
      <c r="F28" s="7" t="n">
        <v>0.5</v>
      </c>
      <c r="G28" s="3" t="s">
        <v>105</v>
      </c>
    </row>
    <row r="29" customFormat="false" ht="39.75" hidden="false" customHeight="true" outlineLevel="0" collapsed="false">
      <c r="A29" s="15" t="s">
        <v>98</v>
      </c>
      <c r="B29" s="3" t="s">
        <v>106</v>
      </c>
      <c r="C29" s="4" t="s">
        <v>107</v>
      </c>
      <c r="D29" s="5" t="s">
        <v>10</v>
      </c>
      <c r="E29" s="13" t="s">
        <v>40</v>
      </c>
      <c r="F29" s="7" t="n">
        <v>0.5</v>
      </c>
      <c r="G29" s="3" t="s">
        <v>16</v>
      </c>
    </row>
    <row r="30" customFormat="false" ht="39.75" hidden="false" customHeight="true" outlineLevel="0" collapsed="false">
      <c r="A30" s="15" t="s">
        <v>98</v>
      </c>
      <c r="B30" s="4" t="s">
        <v>108</v>
      </c>
      <c r="C30" s="4" t="s">
        <v>109</v>
      </c>
      <c r="D30" s="5" t="s">
        <v>10</v>
      </c>
      <c r="E30" s="5" t="s">
        <v>10</v>
      </c>
      <c r="F30" s="7" t="n">
        <v>1</v>
      </c>
      <c r="G30" s="3" t="s">
        <v>110</v>
      </c>
    </row>
    <row r="31" customFormat="false" ht="39.75" hidden="false" customHeight="true" outlineLevel="0" collapsed="false">
      <c r="A31" s="15" t="s">
        <v>98</v>
      </c>
      <c r="B31" s="3" t="s">
        <v>111</v>
      </c>
      <c r="C31" s="4" t="s">
        <v>112</v>
      </c>
      <c r="D31" s="5" t="s">
        <v>10</v>
      </c>
      <c r="E31" s="10" t="s">
        <v>113</v>
      </c>
      <c r="F31" s="7" t="n">
        <v>1</v>
      </c>
      <c r="G31" s="3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48"/>
    <col collapsed="false" customWidth="true" hidden="false" outlineLevel="0" max="5" min="5" style="0" width="40"/>
    <col collapsed="false" customWidth="true" hidden="false" outlineLevel="0" max="6" min="6" style="0" width="22"/>
  </cols>
  <sheetData>
    <row r="1" customFormat="false" ht="29.85" hidden="false" customHeight="false" outlineLevel="0" collapsed="false">
      <c r="A1" s="16" t="s">
        <v>115</v>
      </c>
      <c r="B1" s="1" t="s">
        <v>116</v>
      </c>
      <c r="C1" s="1" t="s">
        <v>117</v>
      </c>
      <c r="D1" s="16" t="s">
        <v>118</v>
      </c>
      <c r="E1" s="1" t="s">
        <v>119</v>
      </c>
      <c r="F1" s="16" t="s">
        <v>19</v>
      </c>
    </row>
    <row r="2" customFormat="false" ht="57.75" hidden="false" customHeight="true" outlineLevel="0" collapsed="false">
      <c r="A2" s="17" t="s">
        <v>120</v>
      </c>
      <c r="B2" s="10" t="s">
        <v>121</v>
      </c>
      <c r="C2" s="3" t="s">
        <v>122</v>
      </c>
      <c r="D2" s="3" t="s">
        <v>123</v>
      </c>
      <c r="E2" s="3" t="s">
        <v>124</v>
      </c>
      <c r="F2" s="4" t="s">
        <v>19</v>
      </c>
    </row>
    <row r="3" customFormat="false" ht="57.75" hidden="false" customHeight="true" outlineLevel="0" collapsed="false">
      <c r="A3" s="17" t="s">
        <v>125</v>
      </c>
      <c r="B3" s="8" t="s">
        <v>126</v>
      </c>
      <c r="C3" s="3" t="s">
        <v>127</v>
      </c>
      <c r="D3" s="4" t="s">
        <v>128</v>
      </c>
      <c r="E3" s="3" t="s">
        <v>129</v>
      </c>
      <c r="F3" s="3" t="s">
        <v>130</v>
      </c>
    </row>
    <row r="4" customFormat="false" ht="57.75" hidden="false" customHeight="true" outlineLevel="0" collapsed="false">
      <c r="A4" s="17" t="s">
        <v>131</v>
      </c>
      <c r="B4" s="12" t="s">
        <v>132</v>
      </c>
      <c r="C4" s="4" t="s">
        <v>133</v>
      </c>
      <c r="D4" s="4" t="s">
        <v>134</v>
      </c>
      <c r="E4" s="3" t="s">
        <v>135</v>
      </c>
      <c r="F4" s="3" t="s">
        <v>136</v>
      </c>
    </row>
    <row r="5" customFormat="false" ht="57.75" hidden="false" customHeight="true" outlineLevel="0" collapsed="false">
      <c r="A5" s="17" t="s">
        <v>137</v>
      </c>
      <c r="B5" s="10" t="s">
        <v>121</v>
      </c>
      <c r="C5" s="4" t="s">
        <v>138</v>
      </c>
      <c r="D5" s="4" t="s">
        <v>139</v>
      </c>
      <c r="E5" s="3" t="s">
        <v>140</v>
      </c>
      <c r="F5" s="3" t="s">
        <v>141</v>
      </c>
    </row>
    <row r="6" customFormat="false" ht="57.75" hidden="false" customHeight="true" outlineLevel="0" collapsed="false">
      <c r="A6" s="17" t="s">
        <v>142</v>
      </c>
      <c r="B6" s="12" t="s">
        <v>143</v>
      </c>
      <c r="C6" s="4" t="s">
        <v>144</v>
      </c>
      <c r="D6" s="4" t="s">
        <v>145</v>
      </c>
      <c r="E6" s="3" t="s">
        <v>146</v>
      </c>
      <c r="F6" s="3" t="s">
        <v>147</v>
      </c>
    </row>
    <row r="7" customFormat="false" ht="57.75" hidden="false" customHeight="true" outlineLevel="0" collapsed="false">
      <c r="A7" s="17" t="s">
        <v>148</v>
      </c>
      <c r="B7" s="12" t="s">
        <v>143</v>
      </c>
      <c r="C7" s="3" t="s">
        <v>149</v>
      </c>
      <c r="D7" s="3" t="s">
        <v>150</v>
      </c>
      <c r="E7" s="3" t="s">
        <v>151</v>
      </c>
      <c r="F7" s="3" t="s">
        <v>152</v>
      </c>
    </row>
    <row r="8" customFormat="false" ht="57.75" hidden="false" customHeight="true" outlineLevel="0" collapsed="false">
      <c r="A8" s="17"/>
      <c r="B8" s="11"/>
      <c r="C8" s="3"/>
      <c r="D8" s="3"/>
      <c r="E8" s="3"/>
      <c r="F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4"/>
  </cols>
  <sheetData>
    <row r="1" customFormat="false" ht="25.5" hidden="false" customHeight="true" outlineLevel="0" collapsed="false">
      <c r="A1" s="18" t="s">
        <v>153</v>
      </c>
      <c r="B1" s="18"/>
    </row>
    <row r="2" customFormat="false" ht="54" hidden="false" customHeight="true" outlineLevel="0" collapsed="false">
      <c r="A2" s="19" t="s">
        <v>154</v>
      </c>
      <c r="B2" s="20" t="s">
        <v>155</v>
      </c>
    </row>
    <row r="3" customFormat="false" ht="54" hidden="false" customHeight="true" outlineLevel="0" collapsed="false">
      <c r="A3" s="19" t="s">
        <v>156</v>
      </c>
      <c r="B3" s="20" t="s">
        <v>157</v>
      </c>
    </row>
    <row r="4" customFormat="false" ht="54" hidden="false" customHeight="true" outlineLevel="0" collapsed="false">
      <c r="A4" s="19" t="s">
        <v>158</v>
      </c>
      <c r="B4" s="21" t="s">
        <v>159</v>
      </c>
    </row>
    <row r="5" customFormat="false" ht="54" hidden="false" customHeight="true" outlineLevel="0" collapsed="false">
      <c r="A5" s="19" t="s">
        <v>160</v>
      </c>
      <c r="B5" s="20" t="s">
        <v>161</v>
      </c>
    </row>
    <row r="6" customFormat="false" ht="54" hidden="false" customHeight="true" outlineLevel="0" collapsed="false">
      <c r="A6" s="19" t="s">
        <v>162</v>
      </c>
      <c r="B6" s="21" t="s">
        <v>163</v>
      </c>
    </row>
    <row r="7" customFormat="false" ht="54" hidden="false" customHeight="true" outlineLevel="0" collapsed="false">
      <c r="A7" s="19" t="s">
        <v>164</v>
      </c>
      <c r="B7" s="20" t="s">
        <v>165</v>
      </c>
    </row>
    <row r="8" customFormat="false" ht="54" hidden="false" customHeight="true" outlineLevel="0" collapsed="false">
      <c r="A8" s="19" t="s">
        <v>166</v>
      </c>
      <c r="B8" s="20" t="s">
        <v>167</v>
      </c>
    </row>
    <row r="9" customFormat="false" ht="54" hidden="false" customHeight="true" outlineLevel="0" collapsed="false">
      <c r="A9" s="19" t="s">
        <v>168</v>
      </c>
      <c r="B9" s="20" t="s">
        <v>169</v>
      </c>
    </row>
    <row r="10" customFormat="false" ht="54" hidden="false" customHeight="true" outlineLevel="0" collapsed="false">
      <c r="A10" s="19" t="s">
        <v>170</v>
      </c>
      <c r="B10" s="20" t="s">
        <v>171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40"/>
  </cols>
  <sheetData>
    <row r="1" customFormat="false" ht="17.15" hidden="false" customHeight="false" outlineLevel="0" collapsed="false">
      <c r="A1" s="1" t="s">
        <v>0</v>
      </c>
      <c r="B1" s="1" t="s">
        <v>172</v>
      </c>
      <c r="C1" s="1" t="s">
        <v>173</v>
      </c>
      <c r="D1" s="1" t="s">
        <v>174</v>
      </c>
      <c r="E1" s="1" t="s">
        <v>175</v>
      </c>
    </row>
    <row r="2" customFormat="false" ht="15" hidden="false" customHeight="false" outlineLevel="0" collapsed="false">
      <c r="A2" s="21" t="s">
        <v>7</v>
      </c>
      <c r="B2" s="22" t="n">
        <f aca="false">COUNTIFS(四域文件总表!$A$2:$A$200,A2,四域文件总表!$F$2:$F$200,"&lt;&gt;")</f>
        <v>3</v>
      </c>
      <c r="C2" s="22" t="n">
        <f aca="false">SUMIFS(四域文件总表!$F$2:$F$200,四域文件总表!$A$2:$A$200,A2)</f>
        <v>2</v>
      </c>
      <c r="D2" s="23" t="n">
        <f aca="false">IF(B2=0,0,C2/B2)</f>
        <v>0.666666666666667</v>
      </c>
      <c r="E2" s="20" t="s">
        <v>16</v>
      </c>
    </row>
    <row r="3" customFormat="false" ht="15" hidden="false" customHeight="false" outlineLevel="0" collapsed="false">
      <c r="A3" s="21" t="s">
        <v>26</v>
      </c>
      <c r="B3" s="22" t="n">
        <f aca="false">COUNTIFS(四域文件总表!$A$2:$A$200,A3,四域文件总表!$F$2:$F$200,"&lt;&gt;")</f>
        <v>5</v>
      </c>
      <c r="C3" s="22" t="n">
        <f aca="false">SUMIFS(四域文件总表!$F$2:$F$200,四域文件总表!$A$2:$A$200,A3)</f>
        <v>3</v>
      </c>
      <c r="D3" s="23" t="n">
        <f aca="false">IF(B3=0,0,C3/B3)</f>
        <v>0.6</v>
      </c>
      <c r="E3" s="20" t="s">
        <v>176</v>
      </c>
    </row>
    <row r="4" customFormat="false" ht="15" hidden="false" customHeight="false" outlineLevel="0" collapsed="false">
      <c r="A4" s="21" t="s">
        <v>47</v>
      </c>
      <c r="B4" s="22" t="n">
        <f aca="false">COUNTIFS(四域文件总表!$A$2:$A$200,A4,四域文件总表!$F$2:$F$200,"&lt;&gt;")</f>
        <v>7</v>
      </c>
      <c r="C4" s="22" t="n">
        <f aca="false">SUMIFS(四域文件总表!$F$2:$F$200,四域文件总表!$A$2:$A$200,A4)</f>
        <v>6</v>
      </c>
      <c r="D4" s="23" t="n">
        <f aca="false">IF(B4=0,0,C4/B4)</f>
        <v>0.857142857142857</v>
      </c>
      <c r="E4" s="21" t="s">
        <v>177</v>
      </c>
    </row>
    <row r="5" customFormat="false" ht="15" hidden="false" customHeight="false" outlineLevel="0" collapsed="false">
      <c r="A5" s="21" t="s">
        <v>70</v>
      </c>
      <c r="B5" s="22" t="n">
        <f aca="false">COUNTIFS(四域文件总表!$A$2:$A$200,A5,四域文件总表!$F$2:$F$200,"&lt;&gt;")</f>
        <v>7</v>
      </c>
      <c r="C5" s="22" t="n">
        <f aca="false">SUMIFS(四域文件总表!$F$2:$F$200,四域文件总表!$A$2:$A$200,A5)</f>
        <v>5.5</v>
      </c>
      <c r="D5" s="23" t="n">
        <f aca="false">IF(B5=0,0,C5/B5)</f>
        <v>0.785714285714286</v>
      </c>
      <c r="E5" s="20" t="s">
        <v>178</v>
      </c>
    </row>
    <row r="6" customFormat="false" ht="15" hidden="false" customHeight="false" outlineLevel="0" collapsed="false">
      <c r="A6" s="20" t="s">
        <v>98</v>
      </c>
      <c r="B6" s="22" t="n">
        <f aca="false">COUNTIFS(四域文件总表!$A$2:$A$200,A6,四域文件总表!$F$2:$F$200,"&lt;&gt;")</f>
        <v>5</v>
      </c>
      <c r="C6" s="22" t="n">
        <f aca="false">SUMIFS(四域文件总表!$F$2:$F$200,四域文件总表!$A$2:$A$200,A6)</f>
        <v>4</v>
      </c>
      <c r="D6" s="23" t="n">
        <f aca="false">IF(B6=0,0,C6/B6)</f>
        <v>0.8</v>
      </c>
      <c r="E6" s="20" t="s">
        <v>16</v>
      </c>
    </row>
    <row r="7" customFormat="false" ht="29.85" hidden="false" customHeight="false" outlineLevel="0" collapsed="false">
      <c r="A7" s="24" t="s">
        <v>179</v>
      </c>
      <c r="B7" s="25" t="n">
        <f aca="false">COUNTIFS(四域文件总表!$F$2:$F$200,"&lt;&gt;")</f>
        <v>27</v>
      </c>
      <c r="C7" s="25" t="n">
        <f aca="false">SUM(四域文件总表!$F$2:$F$200)</f>
        <v>20.5</v>
      </c>
      <c r="D7" s="26" t="n">
        <f aca="false">IF(B7=0,0,C7/B7)</f>
        <v>0.759259259259259</v>
      </c>
      <c r="E7" s="24" t="s">
        <v>180</v>
      </c>
    </row>
    <row r="9" customFormat="false" ht="15" hidden="false" customHeight="false" outlineLevel="0" collapsed="false">
      <c r="A9" s="27" t="s">
        <v>181</v>
      </c>
    </row>
    <row r="10" customFormat="false" ht="15" hidden="false" customHeight="false" outlineLevel="0" collapsed="false">
      <c r="A10" s="28" t="s">
        <v>182</v>
      </c>
    </row>
    <row r="11" customFormat="false" ht="15" hidden="false" customHeight="false" outlineLevel="0" collapsed="false">
      <c r="A11" s="27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2026-06-15T13:51:30Z</dcterms:created>
  <dc:creator>openpyxl</dc:creator>
  <dc:description/>
  <dc:language>en-US</dc:language>
  <cp:lastModifiedBy/>
  <dcterms:modified xsi:type="dcterms:W3CDTF">2026-06-15T13:51:30Z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