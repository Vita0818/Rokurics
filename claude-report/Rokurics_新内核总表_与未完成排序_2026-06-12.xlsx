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新内核总表" sheetId="1" state="visible" r:id="rId3"/>
    <sheet name="未完成-按顺序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<sst xmlns="http://schemas.openxmlformats.org/spreadsheetml/2006/main" count="378" uniqueCount="221">
  <si>
    <r>
      <rPr>
        <b val="true"/>
        <sz val="11"/>
        <color rgb="FFFFFFFF"/>
        <rFont val="DejaVu Sans"/>
        <family val="2"/>
      </rPr>
      <t xml:space="preserve">分区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域</t>
    </r>
  </si>
  <si>
    <t xml:space="preserve">组件</t>
  </si>
  <si>
    <t xml:space="preserve">端</t>
  </si>
  <si>
    <t xml:space="preserve">应有文件</t>
  </si>
  <si>
    <r>
      <rPr>
        <b val="true"/>
        <sz val="11"/>
        <color rgb="FFFFFFFF"/>
        <rFont val="Arial"/>
        <family val="0"/>
        <charset val="1"/>
      </rPr>
      <t xml:space="preserve">Codex </t>
    </r>
    <r>
      <rPr>
        <b val="true"/>
        <sz val="11"/>
        <color rgb="FFFFFFFF"/>
        <rFont val="DejaVu Sans"/>
        <family val="2"/>
      </rPr>
      <t xml:space="preserve">状态</t>
    </r>
  </si>
  <si>
    <t xml:space="preserve">完成度</t>
  </si>
  <si>
    <t xml:space="preserve">备注</t>
  </si>
  <si>
    <r>
      <rPr>
        <b val="true"/>
        <sz val="9"/>
        <rFont val="DejaVu Sans"/>
        <family val="2"/>
      </rPr>
      <t xml:space="preserve">核心模型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规划</t>
    </r>
  </si>
  <si>
    <r>
      <rPr>
        <sz val="9"/>
        <rFont val="DejaVu Sans"/>
        <family val="2"/>
      </rPr>
      <t xml:space="preserve">统一数据模型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对象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清单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哈希</t>
    </r>
    <r>
      <rPr>
        <sz val="9"/>
        <rFont val="Arial"/>
        <family val="0"/>
        <charset val="1"/>
      </rPr>
      <t xml:space="preserve">)</t>
    </r>
  </si>
  <si>
    <t xml:space="preserve">共享</t>
  </si>
  <si>
    <t xml:space="preserve">CanonicalCore.swift</t>
  </si>
  <si>
    <t xml:space="preserve">✅ 已写</t>
  </si>
  <si>
    <r>
      <rPr>
        <sz val="9"/>
        <rFont val="Arial"/>
        <family val="0"/>
        <charset val="1"/>
      </rPr>
      <t xml:space="preserve">1396</t>
    </r>
    <r>
      <rPr>
        <sz val="9"/>
        <rFont val="DejaVu Sans"/>
        <family val="2"/>
      </rPr>
      <t xml:space="preserve">行</t>
    </r>
  </si>
  <si>
    <r>
      <rPr>
        <sz val="9"/>
        <rFont val="Arial"/>
        <family val="0"/>
        <charset val="1"/>
      </rPr>
      <t xml:space="preserve">diff/LWW </t>
    </r>
    <r>
      <rPr>
        <sz val="9"/>
        <rFont val="DejaVu Sans"/>
        <family val="2"/>
      </rPr>
      <t xml:space="preserve">规划</t>
    </r>
  </si>
  <si>
    <t xml:space="preserve">CanonicalSyncPlanner.swift</t>
  </si>
  <si>
    <r>
      <rPr>
        <sz val="9"/>
        <rFont val="Arial"/>
        <family val="0"/>
        <charset val="1"/>
      </rPr>
      <t xml:space="preserve">apply </t>
    </r>
    <r>
      <rPr>
        <sz val="9"/>
        <rFont val="DejaVu Sans"/>
        <family val="2"/>
      </rPr>
      <t xml:space="preserve">计划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运行时</t>
    </r>
  </si>
  <si>
    <t xml:space="preserve">CanonicalApplyPlan.swift / CanonicalApplyRuntime.swift</t>
  </si>
  <si>
    <r>
      <rPr>
        <sz val="9"/>
        <rFont val="DejaVu Sans"/>
        <family val="2"/>
      </rPr>
      <t xml:space="preserve">同步运行时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决策叠加</t>
    </r>
    <r>
      <rPr>
        <sz val="9"/>
        <rFont val="Arial"/>
        <family val="0"/>
        <charset val="1"/>
      </rPr>
      <t xml:space="preserve">)</t>
    </r>
  </si>
  <si>
    <t xml:space="preserve">CanonicalSyncRuntime.swift</t>
  </si>
  <si>
    <r>
      <rPr>
        <sz val="9"/>
        <rFont val="DejaVu Sans"/>
        <family val="2"/>
      </rPr>
      <t xml:space="preserve">运行时主决策仅</t>
    </r>
    <r>
      <rPr>
        <sz val="9"/>
        <rFont val="Arial"/>
        <family val="0"/>
        <charset val="1"/>
      </rPr>
      <t xml:space="preserve">3 scope</t>
    </r>
  </si>
  <si>
    <r>
      <rPr>
        <sz val="9"/>
        <rFont val="DejaVu Sans"/>
        <family val="2"/>
      </rPr>
      <t xml:space="preserve">库同步规划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冲突解决</t>
    </r>
  </si>
  <si>
    <t xml:space="preserve">CanonicalLibrarySyncPlanner.swift / CanonicalConflictResolver.swift</t>
  </si>
  <si>
    <r>
      <rPr>
        <sz val="9"/>
        <rFont val="DejaVu Sans"/>
        <family val="2"/>
      </rPr>
      <t xml:space="preserve">投影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契约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库对象</t>
    </r>
  </si>
  <si>
    <t xml:space="preserve">CanonicalObjectProjection / CanonicalProjectionContract / CanonicalLibraryObject.swift</t>
  </si>
  <si>
    <r>
      <rPr>
        <b val="true"/>
        <sz val="9"/>
        <rFont val="DejaVu Sans"/>
        <family val="2"/>
      </rPr>
      <t xml:space="preserve">域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DejaVu Sans"/>
        <family val="2"/>
      </rPr>
      <t xml:space="preserve">录音元数据</t>
    </r>
  </si>
  <si>
    <r>
      <rPr>
        <sz val="9"/>
        <rFont val="DejaVu Sans"/>
        <family val="2"/>
      </rPr>
      <t xml:space="preserve">共享 </t>
    </r>
    <r>
      <rPr>
        <sz val="9"/>
        <rFont val="Arial"/>
        <family val="0"/>
        <charset val="1"/>
      </rPr>
      <t xml:space="preserve">cutover / </t>
    </r>
    <r>
      <rPr>
        <sz val="9"/>
        <rFont val="DejaVu Sans"/>
        <family val="2"/>
      </rPr>
      <t xml:space="preserve">执行影子</t>
    </r>
  </si>
  <si>
    <t xml:space="preserve">CanonicalRecordingMetadataCutover.swift / CanonicalRecordingMetadataExecutionShadow.swift</t>
  </si>
  <si>
    <r>
      <rPr>
        <sz val="9"/>
        <rFont val="Arial"/>
        <family val="0"/>
        <charset val="1"/>
      </rPr>
      <t xml:space="preserve">NoCommit </t>
    </r>
    <r>
      <rPr>
        <sz val="9"/>
        <rFont val="DejaVu Sans"/>
        <family val="2"/>
      </rPr>
      <t xml:space="preserve">执行器</t>
    </r>
  </si>
  <si>
    <t xml:space="preserve">iPhone</t>
  </si>
  <si>
    <t xml:space="preserve">IPhoneRecordingMetadataNoCommitExecutor.swift</t>
  </si>
  <si>
    <r>
      <rPr>
        <sz val="9"/>
        <rFont val="Arial"/>
        <family val="0"/>
        <charset val="1"/>
      </rPr>
      <t xml:space="preserve">Cutover </t>
    </r>
    <r>
      <rPr>
        <sz val="9"/>
        <rFont val="DejaVu Sans"/>
        <family val="2"/>
      </rPr>
      <t xml:space="preserve">执行器</t>
    </r>
  </si>
  <si>
    <t xml:space="preserve">IPhoneRecordingMetadataCutoverExecutor.swift</t>
  </si>
  <si>
    <r>
      <rPr>
        <sz val="9"/>
        <rFont val="DejaVu Sans"/>
        <family val="2"/>
      </rPr>
      <t xml:space="preserve">真实 </t>
    </r>
    <r>
      <rPr>
        <sz val="9"/>
        <rFont val="Arial"/>
        <family val="0"/>
        <charset val="1"/>
      </rPr>
      <t xml:space="preserve">ApplyPort</t>
    </r>
  </si>
  <si>
    <t xml:space="preserve">IPhoneRecordingMetadataRealApplyPort.swift</t>
  </si>
  <si>
    <t xml:space="preserve">❌ 缺</t>
  </si>
  <si>
    <r>
      <rPr>
        <sz val="9"/>
        <rFont val="DejaVu Sans"/>
        <family val="2"/>
      </rPr>
      <t xml:space="preserve">★承重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未写</t>
    </r>
  </si>
  <si>
    <r>
      <rPr>
        <sz val="9"/>
        <rFont val="DejaVu Sans"/>
        <family val="2"/>
      </rPr>
      <t xml:space="preserve">读侧 </t>
    </r>
    <r>
      <rPr>
        <sz val="9"/>
        <rFont val="Arial"/>
        <family val="0"/>
        <charset val="1"/>
      </rPr>
      <t xml:space="preserve">Seam</t>
    </r>
  </si>
  <si>
    <t xml:space="preserve">IPhoneRecordingMetadataReadSideSeam.swift</t>
  </si>
  <si>
    <t xml:space="preserve">Mac</t>
  </si>
  <si>
    <t xml:space="preserve">MacRecordingMetadataNoCommitExecutor.swift</t>
  </si>
  <si>
    <t xml:space="preserve">MacRecordingMetadataCutoverExecutor.swift</t>
  </si>
  <si>
    <t xml:space="preserve">MacRecordingMetadataRealApplyPort.swift</t>
  </si>
  <si>
    <t xml:space="preserve">MacRecordingMetadataReadSideSeam.swift</t>
  </si>
  <si>
    <r>
      <rPr>
        <sz val="9"/>
        <rFont val="DejaVu Sans"/>
        <family val="2"/>
      </rPr>
      <t xml:space="preserve">漏传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入站录音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应用桥</t>
    </r>
  </si>
  <si>
    <t xml:space="preserve">IncomingRecordingMetadata.swift / CanonicalRecordingManifestApplyBridge(SecureLocalHTTPSServer)</t>
  </si>
  <si>
    <t xml:space="preserve">🟡 门控</t>
  </si>
  <si>
    <r>
      <rPr>
        <sz val="9"/>
        <rFont val="DejaVu Sans"/>
        <family val="2"/>
      </rPr>
      <t xml:space="preserve">已接但默认</t>
    </r>
    <r>
      <rPr>
        <sz val="9"/>
        <rFont val="Arial"/>
        <family val="0"/>
        <charset val="1"/>
      </rPr>
      <t xml:space="preserve">off,</t>
    </r>
    <r>
      <rPr>
        <sz val="9"/>
        <rFont val="DejaVu Sans"/>
        <family val="2"/>
      </rPr>
      <t xml:space="preserve">切</t>
    </r>
    <r>
      <rPr>
        <sz val="9"/>
        <rFont val="Arial"/>
        <family val="0"/>
        <charset val="1"/>
      </rPr>
      <t xml:space="preserve">canonical</t>
    </r>
    <r>
      <rPr>
        <sz val="9"/>
        <rFont val="DejaVu Sans"/>
        <family val="2"/>
      </rPr>
      <t xml:space="preserve">才生效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需真机确认落地</t>
    </r>
  </si>
  <si>
    <r>
      <rPr>
        <b val="true"/>
        <sz val="9"/>
        <rFont val="DejaVu Sans"/>
        <family val="2"/>
      </rPr>
      <t xml:space="preserve">域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DejaVu Sans"/>
        <family val="2"/>
      </rPr>
      <t xml:space="preserve">库元数据</t>
    </r>
  </si>
  <si>
    <r>
      <rPr>
        <sz val="9"/>
        <rFont val="DejaVu Sans"/>
        <family val="2"/>
      </rPr>
      <t xml:space="preserve">共享 </t>
    </r>
    <r>
      <rPr>
        <sz val="9"/>
        <rFont val="Arial"/>
        <family val="0"/>
        <charset val="1"/>
      </rPr>
      <t xml:space="preserve">cutover/</t>
    </r>
    <r>
      <rPr>
        <sz val="9"/>
        <rFont val="DejaVu Sans"/>
        <family val="2"/>
      </rPr>
      <t xml:space="preserve">读投影</t>
    </r>
    <r>
      <rPr>
        <sz val="9"/>
        <rFont val="Arial"/>
        <family val="0"/>
        <charset val="1"/>
      </rPr>
      <t xml:space="preserve">/landing/canary/observation/evidence</t>
    </r>
  </si>
  <si>
    <t xml:space="preserve">CanonicalLibraryMetadata{Cutover,ReadProjection,Landing,ProductionCanary,Observation,PilotEvidence}.swift</t>
  </si>
  <si>
    <t xml:space="preserve">最完整的域</t>
  </si>
  <si>
    <t xml:space="preserve">NoCommit / Cutover / ReadSeam / RealApplyPort / CanaryBootstrap</t>
  </si>
  <si>
    <t xml:space="preserve">IPhoneLibraryMetadata{NoCommit,Cutover,ReadSideSeam,RealApplyPort,ProductionCanaryBootstrap}.swift</t>
  </si>
  <si>
    <r>
      <rPr>
        <sz val="9"/>
        <rFont val="DejaVu Sans"/>
        <family val="2"/>
      </rPr>
      <t xml:space="preserve">四件齐</t>
    </r>
    <r>
      <rPr>
        <sz val="9"/>
        <rFont val="Arial"/>
        <family val="0"/>
        <charset val="1"/>
      </rPr>
      <t xml:space="preserve">+bootstrap</t>
    </r>
  </si>
  <si>
    <t xml:space="preserve">MacLibraryMetadata{NoCommit,Cutover,ReadSideSeam,RealApplyPort,ProductionCanaryBootstrap}.swift</t>
  </si>
  <si>
    <r>
      <rPr>
        <b val="true"/>
        <sz val="9"/>
        <rFont val="DejaVu Sans"/>
        <family val="2"/>
      </rPr>
      <t xml:space="preserve">域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DejaVu Sans"/>
        <family val="2"/>
      </rPr>
      <t xml:space="preserve">生成产物</t>
    </r>
  </si>
  <si>
    <r>
      <rPr>
        <sz val="9"/>
        <rFont val="DejaVu Sans"/>
        <family val="2"/>
      </rPr>
      <t xml:space="preserve">共享 </t>
    </r>
    <r>
      <rPr>
        <sz val="9"/>
        <rFont val="Arial"/>
        <family val="0"/>
        <charset val="1"/>
      </rPr>
      <t xml:space="preserve">cutover/guardedCommit/</t>
    </r>
    <r>
      <rPr>
        <sz val="9"/>
        <rFont val="DejaVu Sans"/>
        <family val="2"/>
      </rPr>
      <t xml:space="preserve">读投影</t>
    </r>
  </si>
  <si>
    <t xml:space="preserve">CanonicalGeneratedArtifact{Cutover,GuardedCommit,ReadProjection}.swift</t>
  </si>
  <si>
    <t xml:space="preserve">NoCommit / Cutover / ReadSeam / RealApplyPort</t>
  </si>
  <si>
    <t xml:space="preserve">IPhoneGeneratedArtifact{NoCommit,Cutover,ReadSideSeam,RealApplyPort}.swift</t>
  </si>
  <si>
    <t xml:space="preserve">四件齐</t>
  </si>
  <si>
    <t xml:space="preserve">MacGeneratedArtifact{NoCommit,Cutover,ReadSideSeam,RealApplyPort}.swift</t>
  </si>
  <si>
    <r>
      <rPr>
        <b val="true"/>
        <sz val="9"/>
        <rFont val="DejaVu Sans"/>
        <family val="2"/>
      </rPr>
      <t xml:space="preserve">域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DejaVu Sans"/>
        <family val="2"/>
      </rPr>
      <t xml:space="preserve">墓碑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冲突</t>
    </r>
  </si>
  <si>
    <t xml:space="preserve">CanonicalTombstoneConflict{Cutover,GuardedCommit,ReadProjection}.swift</t>
  </si>
  <si>
    <t xml:space="preserve">IPhoneTombstoneConflict{NoCommit,Cutover,ReadSideSeam,RealApplyPort}.swift</t>
  </si>
  <si>
    <t xml:space="preserve">MacTombstoneConflict{NoCommit,Cutover,ReadSideSeam,RealApplyPort}.swift</t>
  </si>
  <si>
    <r>
      <rPr>
        <b val="true"/>
        <sz val="9"/>
        <rFont val="DejaVu Sans"/>
        <family val="2"/>
      </rPr>
      <t xml:space="preserve">域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DejaVu Sans"/>
        <family val="2"/>
      </rPr>
      <t xml:space="preserve">音频上传</t>
    </r>
  </si>
  <si>
    <r>
      <rPr>
        <sz val="9"/>
        <rFont val="DejaVu Sans"/>
        <family val="2"/>
      </rPr>
      <t xml:space="preserve">共享 </t>
    </r>
    <r>
      <rPr>
        <sz val="9"/>
        <rFont val="Arial"/>
        <family val="0"/>
        <charset val="1"/>
      </rPr>
      <t xml:space="preserve">cutover/commit/</t>
    </r>
    <r>
      <rPr>
        <sz val="9"/>
        <rFont val="DejaVu Sans"/>
        <family val="2"/>
      </rPr>
      <t xml:space="preserve">状态真相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状态机</t>
    </r>
  </si>
  <si>
    <t xml:space="preserve">CanonicalAudioUploadCutover.swift / CanonicalAudioUploadRuntimeCommit.swift / CanonicalUploadStateTruth.swift / CanonicalTransferStateMachine.swift</t>
  </si>
  <si>
    <r>
      <rPr>
        <sz val="9"/>
        <rFont val="DejaVu Sans"/>
        <family val="2"/>
      </rPr>
      <t xml:space="preserve">模型齐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非执行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</si>
  <si>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NoCommit </t>
    </r>
    <r>
      <rPr>
        <sz val="9"/>
        <rFont val="DejaVu Sans"/>
        <family val="2"/>
      </rPr>
      <t xml:space="preserve">执行器 </t>
    </r>
    <r>
      <rPr>
        <sz val="9"/>
        <rFont val="Arial"/>
        <family val="0"/>
        <charset val="1"/>
      </rPr>
      <t xml:space="preserve">+ runtime </t>
    </r>
    <r>
      <rPr>
        <sz val="9"/>
        <rFont val="DejaVu Sans"/>
        <family val="2"/>
      </rPr>
      <t xml:space="preserve">适配器</t>
    </r>
  </si>
  <si>
    <t xml:space="preserve">IPhoneAudioUploadNoCommitExecutor.swift / IPhoneCanonicalAudioUploadRuntimeAdapter.swift</t>
  </si>
  <si>
    <r>
      <rPr>
        <sz val="9"/>
        <rFont val="DejaVu Sans"/>
        <family val="2"/>
      </rPr>
      <t xml:space="preserve">真实 </t>
    </r>
    <r>
      <rPr>
        <sz val="9"/>
        <rFont val="Arial"/>
        <family val="0"/>
        <charset val="1"/>
      </rPr>
      <t xml:space="preserve">commit/cutover </t>
    </r>
    <r>
      <rPr>
        <sz val="9"/>
        <rFont val="DejaVu Sans"/>
        <family val="2"/>
      </rPr>
      <t xml:space="preserve">执行器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协议</t>
    </r>
  </si>
  <si>
    <t xml:space="preserve">IPhoneAudioUploadCutoverExecutor.swift + protocol CanonicalAudioUploadCutoverExecutor</t>
  </si>
  <si>
    <r>
      <rPr>
        <sz val="9"/>
        <rFont val="DejaVu Sans"/>
        <family val="2"/>
      </rPr>
      <t xml:space="preserve">★承重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未写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只有</t>
    </r>
    <r>
      <rPr>
        <sz val="9"/>
        <rFont val="Arial"/>
        <family val="0"/>
        <charset val="1"/>
      </rPr>
      <t xml:space="preserve">NoCommit)</t>
    </r>
  </si>
  <si>
    <t xml:space="preserve">MacAudioUploadNoCommitExecutor.swift</t>
  </si>
  <si>
    <r>
      <rPr>
        <sz val="9"/>
        <rFont val="DejaVu Sans"/>
        <family val="2"/>
      </rPr>
      <t xml:space="preserve">真实 </t>
    </r>
    <r>
      <rPr>
        <sz val="9"/>
        <rFont val="Arial"/>
        <family val="0"/>
        <charset val="1"/>
      </rPr>
      <t xml:space="preserve">commit/cutover </t>
    </r>
    <r>
      <rPr>
        <sz val="9"/>
        <rFont val="DejaVu Sans"/>
        <family val="2"/>
      </rPr>
      <t xml:space="preserve">执行器</t>
    </r>
  </si>
  <si>
    <t xml:space="preserve">MacAudioUploadCutoverExecutor.swift</t>
  </si>
  <si>
    <t xml:space="preserve">文件层</t>
  </si>
  <si>
    <r>
      <rPr>
        <sz val="9"/>
        <rFont val="DejaVu Sans"/>
        <family val="2"/>
      </rPr>
      <t xml:space="preserve">文件运行时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真实根原子写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生产执行</t>
    </r>
  </si>
  <si>
    <t xml:space="preserve">CanonicalFileRuntime.swift / CanonicalRootBoundMetadataWrite.swift / CanonicalProductionExecution.swift</t>
  </si>
  <si>
    <t xml:space="preserve">生产文件端口</t>
  </si>
  <si>
    <t xml:space="preserve">IPhoneCanonicalProductionFilePort.swift</t>
  </si>
  <si>
    <t xml:space="preserve">🟡 dry-run</t>
  </si>
  <si>
    <r>
      <rPr>
        <sz val="9"/>
        <rFont val="DejaVu Sans"/>
        <family val="2"/>
      </rPr>
      <t xml:space="preserve">默认</t>
    </r>
    <r>
      <rPr>
        <sz val="9"/>
        <rFont val="Arial"/>
        <family val="0"/>
        <charset val="1"/>
      </rPr>
      <t xml:space="preserve">isDryRunOnly=true</t>
    </r>
  </si>
  <si>
    <t xml:space="preserve">MacCanonicalProductionFilePort.swift</t>
  </si>
  <si>
    <r>
      <rPr>
        <sz val="9"/>
        <rFont val="DejaVu Sans"/>
        <family val="2"/>
      </rPr>
      <t xml:space="preserve">默认</t>
    </r>
    <r>
      <rPr>
        <sz val="9"/>
        <rFont val="Arial"/>
        <family val="0"/>
        <charset val="1"/>
      </rPr>
      <t xml:space="preserve">dry-run</t>
    </r>
  </si>
  <si>
    <t xml:space="preserve">影子文件端口</t>
  </si>
  <si>
    <t xml:space="preserve">双端</t>
  </si>
  <si>
    <t xml:space="preserve">IPhone/MacCanonicalShadowFilePort.swift</t>
  </si>
  <si>
    <t xml:space="preserve">连接层</t>
  </si>
  <si>
    <r>
      <rPr>
        <sz val="9"/>
        <rFont val="DejaVu Sans"/>
        <family val="2"/>
      </rPr>
      <t xml:space="preserve">传输运行时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只读探针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端口契约</t>
    </r>
  </si>
  <si>
    <t xml:space="preserve">CanonicalTransportRuntime.swift / CanonicalReadOnlyTransportProbe.swift / CanonicalProductionPorts.swift</t>
  </si>
  <si>
    <t xml:space="preserve">🟡 影子</t>
  </si>
  <si>
    <r>
      <rPr>
        <sz val="9"/>
        <rFont val="DejaVu Sans"/>
        <family val="2"/>
      </rPr>
      <t xml:space="preserve">传输</t>
    </r>
    <r>
      <rPr>
        <sz val="9"/>
        <rFont val="Arial"/>
        <family val="0"/>
        <charset val="1"/>
      </rPr>
      <t xml:space="preserve">runtime</t>
    </r>
    <r>
      <rPr>
        <sz val="9"/>
        <rFont val="DejaVu Sans"/>
        <family val="2"/>
      </rPr>
      <t xml:space="preserve">空壳</t>
    </r>
    <r>
      <rPr>
        <sz val="9"/>
        <rFont val="Arial"/>
        <family val="0"/>
        <charset val="1"/>
      </rPr>
      <t xml:space="preserve">;Path B</t>
    </r>
    <r>
      <rPr>
        <sz val="9"/>
        <rFont val="DejaVu Sans"/>
        <family val="2"/>
      </rPr>
      <t xml:space="preserve">保留</t>
    </r>
    <r>
      <rPr>
        <sz val="9"/>
        <rFont val="Arial"/>
        <family val="0"/>
        <charset val="1"/>
      </rPr>
      <t xml:space="preserve">legacy</t>
    </r>
  </si>
  <si>
    <r>
      <rPr>
        <sz val="9"/>
        <rFont val="DejaVu Sans"/>
        <family val="2"/>
      </rPr>
      <t xml:space="preserve">生产传输端口</t>
    </r>
    <r>
      <rPr>
        <sz val="9"/>
        <rFont val="Arial"/>
        <family val="0"/>
        <charset val="1"/>
      </rPr>
      <t xml:space="preserve">(sendRequest)</t>
    </r>
  </si>
  <si>
    <t xml:space="preserve">IPhone/MacCanonicalProductionTransportPort.swift</t>
  </si>
  <si>
    <t xml:space="preserve">🟡 抑制</t>
  </si>
  <si>
    <r>
      <rPr>
        <sz val="9"/>
        <rFont val="Arial"/>
        <family val="0"/>
        <charset val="1"/>
      </rPr>
      <t xml:space="preserve">sendRequest throw;Path B</t>
    </r>
    <r>
      <rPr>
        <sz val="9"/>
        <rFont val="DejaVu Sans"/>
        <family val="2"/>
      </rPr>
      <t xml:space="preserve">不需要</t>
    </r>
  </si>
  <si>
    <r>
      <rPr>
        <sz val="9"/>
        <rFont val="DejaVu Sans"/>
        <family val="2"/>
      </rPr>
      <t xml:space="preserve">影子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探针传输</t>
    </r>
  </si>
  <si>
    <t xml:space="preserve">IPhone/MacCanonicalShadow+LiveReadOnlyTransportProbe</t>
  </si>
  <si>
    <r>
      <rPr>
        <sz val="9"/>
        <rFont val="Arial"/>
        <family val="0"/>
        <charset val="1"/>
      </rPr>
      <t xml:space="preserve">legacy </t>
    </r>
    <r>
      <rPr>
        <sz val="9"/>
        <rFont val="DejaVu Sans"/>
        <family val="2"/>
      </rPr>
      <t xml:space="preserve">连接</t>
    </r>
    <r>
      <rPr>
        <sz val="9"/>
        <rFont val="Arial"/>
        <family val="0"/>
        <charset val="1"/>
      </rPr>
      <t xml:space="preserve">(TLS/</t>
    </r>
    <r>
      <rPr>
        <sz val="9"/>
        <rFont val="DejaVu Sans"/>
        <family val="2"/>
      </rPr>
      <t xml:space="preserve">配对</t>
    </r>
    <r>
      <rPr>
        <sz val="9"/>
        <rFont val="Arial"/>
        <family val="0"/>
        <charset val="1"/>
      </rPr>
      <t xml:space="preserve">/HMAC)</t>
    </r>
  </si>
  <si>
    <t xml:space="preserve">SecureLocalHTTPSServer/RequestVerifier/PairingManager/SelfSignedCertificateBuilder/SecureMacUploadClient</t>
  </si>
  <si>
    <t xml:space="preserve">⏸ 保留</t>
  </si>
  <si>
    <r>
      <rPr>
        <sz val="9"/>
        <rFont val="DejaVu Sans"/>
        <family val="2"/>
      </rPr>
      <t xml:space="preserve">可靠安全</t>
    </r>
    <r>
      <rPr>
        <sz val="9"/>
        <rFont val="Arial"/>
        <family val="0"/>
        <charset val="1"/>
      </rPr>
      <t xml:space="preserve">,Path B</t>
    </r>
    <r>
      <rPr>
        <sz val="9"/>
        <rFont val="DejaVu Sans"/>
        <family val="2"/>
      </rPr>
      <t xml:space="preserve">勿重写</t>
    </r>
  </si>
  <si>
    <r>
      <rPr>
        <b val="true"/>
        <sz val="9"/>
        <rFont val="DejaVu Sans"/>
        <family val="2"/>
      </rPr>
      <t xml:space="preserve">上传</t>
    </r>
    <r>
      <rPr>
        <b val="true"/>
        <sz val="9"/>
        <rFont val="Arial"/>
        <family val="0"/>
        <charset val="1"/>
      </rPr>
      <t xml:space="preserve">runtime</t>
    </r>
    <r>
      <rPr>
        <b val="true"/>
        <sz val="9"/>
        <rFont val="DejaVu Sans"/>
        <family val="2"/>
      </rPr>
      <t xml:space="preserve">层</t>
    </r>
  </si>
  <si>
    <r>
      <rPr>
        <sz val="9"/>
        <rFont val="DejaVu Sans"/>
        <family val="2"/>
      </rPr>
      <t xml:space="preserve">上传运行时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状态机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状态真相</t>
    </r>
  </si>
  <si>
    <t xml:space="preserve">CanonicalUploadRuntime.swift / CanonicalTransferStateMachine.swift / CanonicalUploadStateTruth.swift</t>
  </si>
  <si>
    <t xml:space="preserve">🟡 部分</t>
  </si>
  <si>
    <r>
      <rPr>
        <sz val="9"/>
        <rFont val="Arial"/>
        <family val="0"/>
        <charset val="1"/>
      </rPr>
      <t xml:space="preserve">runtime</t>
    </r>
    <r>
      <rPr>
        <sz val="9"/>
        <rFont val="DejaVu Sans"/>
        <family val="2"/>
      </rPr>
      <t xml:space="preserve">空壳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状态模型齐</t>
    </r>
  </si>
  <si>
    <t xml:space="preserve">生产上传端口</t>
  </si>
  <si>
    <t xml:space="preserve">IPhone/MacCanonicalProductionUploadPort.swift</t>
  </si>
  <si>
    <t xml:space="preserve">🟡 fake</t>
  </si>
  <si>
    <r>
      <rPr>
        <sz val="9"/>
        <rFont val="Arial"/>
        <family val="0"/>
        <charset val="1"/>
      </rPr>
      <t xml:space="preserve">fakeLedger;Path B</t>
    </r>
    <r>
      <rPr>
        <sz val="9"/>
        <rFont val="DejaVu Sans"/>
        <family val="2"/>
      </rPr>
      <t xml:space="preserve">不需要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保留</t>
    </r>
    <r>
      <rPr>
        <sz val="9"/>
        <rFont val="Arial"/>
        <family val="0"/>
        <charset val="1"/>
      </rPr>
      <t xml:space="preserve">legacy</t>
    </r>
    <r>
      <rPr>
        <sz val="9"/>
        <rFont val="DejaVu Sans"/>
        <family val="2"/>
      </rPr>
      <t xml:space="preserve">上传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</si>
  <si>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legacy </t>
    </r>
    <r>
      <rPr>
        <sz val="9"/>
        <rFont val="DejaVu Sans"/>
        <family val="2"/>
      </rPr>
      <t xml:space="preserve">上传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分块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重试</t>
    </r>
    <r>
      <rPr>
        <sz val="9"/>
        <rFont val="Arial"/>
        <family val="0"/>
        <charset val="1"/>
      </rPr>
      <t xml:space="preserve">/ledger)</t>
    </r>
  </si>
  <si>
    <t xml:space="preserve">RecordingUploadCoordinator/Client/SecureMacUploadClient/UploadFlightRecorder</t>
  </si>
  <si>
    <r>
      <rPr>
        <sz val="9"/>
        <rFont val="DejaVu Sans"/>
        <family val="2"/>
      </rPr>
      <t xml:space="preserve">保留</t>
    </r>
    <r>
      <rPr>
        <sz val="9"/>
        <rFont val="Arial"/>
        <family val="0"/>
        <charset val="1"/>
      </rPr>
      <t xml:space="preserve">;retry-drain bug</t>
    </r>
    <r>
      <rPr>
        <sz val="9"/>
        <rFont val="DejaVu Sans"/>
        <family val="2"/>
      </rPr>
      <t xml:space="preserve">待修</t>
    </r>
  </si>
  <si>
    <r>
      <rPr>
        <b val="true"/>
        <sz val="9"/>
        <rFont val="DejaVu Sans"/>
        <family val="2"/>
      </rPr>
      <t xml:space="preserve">接口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门面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DejaVu Sans"/>
        <family val="2"/>
      </rPr>
      <t xml:space="preserve">开关</t>
    </r>
  </si>
  <si>
    <r>
      <rPr>
        <sz val="9"/>
        <rFont val="DejaVu Sans"/>
        <family val="2"/>
      </rPr>
      <t xml:space="preserve">内核门面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双端迁移门面</t>
    </r>
  </si>
  <si>
    <t xml:space="preserve">CanonicalKernelFacade.swift / Canonical{IPhone,Mac}MigrationFacade.swift</t>
  </si>
  <si>
    <r>
      <rPr>
        <sz val="9"/>
        <rFont val="DejaVu Sans"/>
        <family val="2"/>
      </rPr>
      <t xml:space="preserve">主开关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新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旧一键切</t>
    </r>
    <r>
      <rPr>
        <sz val="9"/>
        <rFont val="Arial"/>
        <family val="0"/>
        <charset val="1"/>
      </rPr>
      <t xml:space="preserve">)</t>
    </r>
  </si>
  <si>
    <t xml:space="preserve">CanonicalKernelSwitch.swift</t>
  </si>
  <si>
    <r>
      <rPr>
        <sz val="9"/>
        <rFont val="DejaVu Sans"/>
        <family val="2"/>
      </rPr>
      <t xml:space="preserve">默认</t>
    </r>
    <r>
      <rPr>
        <sz val="9"/>
        <rFont val="Arial"/>
        <family val="0"/>
        <charset val="1"/>
      </rPr>
      <t xml:space="preserve">oldKernel+</t>
    </r>
    <r>
      <rPr>
        <sz val="9"/>
        <rFont val="DejaVu Sans"/>
        <family val="2"/>
      </rPr>
      <t xml:space="preserve">安全</t>
    </r>
    <r>
      <rPr>
        <sz val="9"/>
        <rFont val="Arial"/>
        <family val="0"/>
        <charset val="1"/>
      </rPr>
      <t xml:space="preserve">blocker</t>
    </r>
  </si>
  <si>
    <r>
      <rPr>
        <sz val="9"/>
        <rFont val="Arial"/>
        <family val="0"/>
        <charset val="1"/>
      </rPr>
      <t xml:space="preserve">legacy </t>
    </r>
    <r>
      <rPr>
        <sz val="9"/>
        <rFont val="DejaVu Sans"/>
        <family val="2"/>
      </rPr>
      <t xml:space="preserve">兼容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切回证明工具</t>
    </r>
  </si>
  <si>
    <r>
      <rPr>
        <sz val="9"/>
        <rFont val="Arial"/>
        <family val="0"/>
        <charset val="1"/>
      </rPr>
      <t xml:space="preserve">CanonicalLegacyCompatibility.swift(</t>
    </r>
    <r>
      <rPr>
        <sz val="9"/>
        <rFont val="DejaVu Sans"/>
        <family val="2"/>
      </rPr>
      <t xml:space="preserve">含 </t>
    </r>
    <r>
      <rPr>
        <sz val="9"/>
        <rFont val="Arial"/>
        <family val="0"/>
        <charset val="1"/>
      </rPr>
      <t xml:space="preserve">CanonicalSwitchBackRealisticRootHarness)</t>
    </r>
  </si>
  <si>
    <t xml:space="preserve">🟡 未跑</t>
  </si>
  <si>
    <r>
      <rPr>
        <sz val="9"/>
        <rFont val="DejaVu Sans"/>
        <family val="2"/>
      </rPr>
      <t xml:space="preserve">工具在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真实库副本证明未接</t>
    </r>
    <r>
      <rPr>
        <sz val="9"/>
        <rFont val="Arial"/>
        <family val="0"/>
        <charset val="1"/>
      </rPr>
      <t xml:space="preserve">driver</t>
    </r>
    <r>
      <rPr>
        <sz val="9"/>
        <rFont val="DejaVu Sans"/>
        <family val="2"/>
      </rPr>
      <t xml:space="preserve">未跑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命门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</si>
  <si>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完成度门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端口契约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生产</t>
    </r>
    <r>
      <rPr>
        <sz val="9"/>
        <rFont val="Arial"/>
        <family val="0"/>
        <charset val="1"/>
      </rPr>
      <t xml:space="preserve">ApplyPort / </t>
    </r>
    <r>
      <rPr>
        <sz val="9"/>
        <rFont val="DejaVu Sans"/>
        <family val="2"/>
      </rPr>
      <t xml:space="preserve">快照适配 </t>
    </r>
    <r>
      <rPr>
        <sz val="9"/>
        <rFont val="Arial"/>
        <family val="0"/>
        <charset val="1"/>
      </rPr>
      <t xml:space="preserve">/ DryRun</t>
    </r>
    <r>
      <rPr>
        <sz val="9"/>
        <rFont val="DejaVu Sans"/>
        <family val="2"/>
      </rPr>
      <t xml:space="preserve">端口</t>
    </r>
  </si>
  <si>
    <t xml:space="preserve">CanonicalSyncKernelCompletion / CanonicalProductionPorts / IPhone+MacCanonicalProductionApplyPort / ...SnapshotAdapter / ...DryRunPorts</t>
  </si>
  <si>
    <r>
      <rPr>
        <b val="true"/>
        <sz val="9"/>
        <rFont val="DejaVu Sans"/>
        <family val="2"/>
      </rPr>
      <t xml:space="preserve">读运行时</t>
    </r>
    <r>
      <rPr>
        <b val="true"/>
        <sz val="9"/>
        <rFont val="Arial"/>
        <family val="0"/>
        <charset val="1"/>
      </rPr>
      <t xml:space="preserve">/UI</t>
    </r>
  </si>
  <si>
    <r>
      <rPr>
        <sz val="9"/>
        <rFont val="DejaVu Sans"/>
        <family val="2"/>
      </rPr>
      <t xml:space="preserve">读运行时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双端适配器</t>
    </r>
  </si>
  <si>
    <t xml:space="preserve">CanonicalReadRuntime.swift / IPhone+MacCanonicalReadRuntimeAdapter.swift</t>
  </si>
  <si>
    <t xml:space="preserve">读切换已接</t>
  </si>
  <si>
    <r>
      <rPr>
        <sz val="9"/>
        <rFont val="Arial"/>
        <family val="0"/>
        <charset val="1"/>
      </rPr>
      <t xml:space="preserve">UI </t>
    </r>
    <r>
      <rPr>
        <sz val="9"/>
        <rFont val="DejaVu Sans"/>
        <family val="2"/>
      </rPr>
      <t xml:space="preserve">读切换接入</t>
    </r>
    <r>
      <rPr>
        <sz val="9"/>
        <rFont val="Arial"/>
        <family val="0"/>
        <charset val="1"/>
      </rPr>
      <t xml:space="preserve">(effectiveStudy*)</t>
    </r>
  </si>
  <si>
    <r>
      <rPr>
        <sz val="9"/>
        <rFont val="Arial"/>
        <family val="0"/>
        <charset val="1"/>
      </rPr>
      <t xml:space="preserve">RecordingLibraryView / MacStudyLibraryView / AIChatView / StudyLibraryStore </t>
    </r>
    <r>
      <rPr>
        <sz val="9"/>
        <rFont val="DejaVu Sans"/>
        <family val="2"/>
      </rPr>
      <t xml:space="preserve">等</t>
    </r>
  </si>
  <si>
    <r>
      <rPr>
        <sz val="9"/>
        <rFont val="DejaVu Sans"/>
        <family val="2"/>
      </rPr>
      <t xml:space="preserve">默认</t>
    </r>
    <r>
      <rPr>
        <sz val="9"/>
        <rFont val="Arial"/>
        <family val="0"/>
        <charset val="1"/>
      </rPr>
      <t xml:space="preserve">legacy</t>
    </r>
  </si>
  <si>
    <r>
      <rPr>
        <sz val="9"/>
        <rFont val="DejaVu Sans"/>
        <family val="2"/>
      </rPr>
      <t xml:space="preserve">设置</t>
    </r>
    <r>
      <rPr>
        <sz val="9"/>
        <rFont val="Arial"/>
        <family val="0"/>
        <charset val="1"/>
      </rPr>
      <t xml:space="preserve">·</t>
    </r>
    <r>
      <rPr>
        <sz val="9"/>
        <rFont val="DejaVu Sans"/>
        <family val="2"/>
      </rPr>
      <t xml:space="preserve">内核开关 </t>
    </r>
    <r>
      <rPr>
        <sz val="9"/>
        <rFont val="Arial"/>
        <family val="0"/>
        <charset val="1"/>
      </rPr>
      <t xml:space="preserve">UI</t>
    </r>
  </si>
  <si>
    <t xml:space="preserve">MacSettingsView.swift / IPhoneSettingsView.swift</t>
  </si>
  <si>
    <r>
      <rPr>
        <sz val="9"/>
        <rFont val="DejaVu Sans"/>
        <family val="2"/>
      </rPr>
      <t xml:space="preserve">有模式选择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确认弹窗</t>
    </r>
  </si>
  <si>
    <r>
      <rPr>
        <sz val="9"/>
        <rFont val="DejaVu Sans"/>
        <family val="2"/>
      </rPr>
      <t xml:space="preserve">单一主开关收敛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双端状态一致</t>
    </r>
  </si>
  <si>
    <r>
      <rPr>
        <sz val="9"/>
        <rFont val="Arial"/>
        <family val="0"/>
        <charset val="1"/>
      </rPr>
      <t xml:space="preserve">MacSettingsView / RecordingStatusView / MacReceiverStatusCard(</t>
    </r>
    <r>
      <rPr>
        <sz val="9"/>
        <rFont val="DejaVu Sans"/>
        <family val="2"/>
      </rPr>
      <t xml:space="preserve">待收口</t>
    </r>
    <r>
      <rPr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</si>
  <si>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开关在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收敛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状态一致未完</t>
    </r>
  </si>
  <si>
    <r>
      <rPr>
        <b val="true"/>
        <sz val="9"/>
        <rFont val="DejaVu Sans"/>
        <family val="2"/>
      </rPr>
      <t xml:space="preserve">性能</t>
    </r>
    <r>
      <rPr>
        <b val="true"/>
        <sz val="9"/>
        <rFont val="Arial"/>
        <family val="0"/>
        <charset val="1"/>
      </rPr>
      <t xml:space="preserve">/inventory</t>
    </r>
  </si>
  <si>
    <r>
      <rPr>
        <sz val="9"/>
        <rFont val="Arial"/>
        <family val="0"/>
        <charset val="1"/>
      </rPr>
      <t xml:space="preserve">inventory </t>
    </r>
    <r>
      <rPr>
        <sz val="9"/>
        <rFont val="DejaVu Sans"/>
        <family val="2"/>
      </rPr>
      <t xml:space="preserve">运行时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契约 </t>
    </r>
    <r>
      <rPr>
        <sz val="9"/>
        <rFont val="Arial"/>
        <family val="0"/>
        <charset val="1"/>
      </rPr>
      <t xml:space="preserve">/ </t>
    </r>
    <r>
      <rPr>
        <sz val="9"/>
        <rFont val="DejaVu Sans"/>
        <family val="2"/>
      </rPr>
      <t xml:space="preserve">后台结构</t>
    </r>
  </si>
  <si>
    <r>
      <rPr>
        <sz val="9"/>
        <rFont val="Arial"/>
        <family val="0"/>
        <charset val="1"/>
      </rPr>
      <t xml:space="preserve">CanonicalInventoryRuntime.swift / CanonicalInventoryBuilderContract.swift / (</t>
    </r>
    <r>
      <rPr>
        <sz val="9"/>
        <rFont val="DejaVu Sans"/>
        <family val="2"/>
      </rPr>
      <t xml:space="preserve">新</t>
    </r>
    <r>
      <rPr>
        <sz val="9"/>
        <rFont val="Arial"/>
        <family val="0"/>
        <charset val="1"/>
      </rPr>
      <t xml:space="preserve">)BackgroundIO+BackgroundStudyManifestBuilder</t>
    </r>
  </si>
  <si>
    <t xml:space="preserve">🟡 半改</t>
  </si>
  <si>
    <r>
      <rPr>
        <sz val="9"/>
        <rFont val="DejaVu Sans"/>
        <family val="2"/>
      </rPr>
      <t xml:space="preserve">加了</t>
    </r>
    <r>
      <rPr>
        <sz val="9"/>
        <rFont val="Arial"/>
        <family val="0"/>
        <charset val="1"/>
      </rPr>
      <t xml:space="preserve">nonisolated</t>
    </r>
    <r>
      <rPr>
        <sz val="9"/>
        <rFont val="DejaVu Sans"/>
        <family val="2"/>
      </rPr>
      <t xml:space="preserve">后台结构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但</t>
    </r>
    <r>
      <rPr>
        <sz val="9"/>
        <rFont val="Arial"/>
        <family val="0"/>
        <charset val="1"/>
      </rPr>
      <t xml:space="preserve">makeSyncManifest</t>
    </r>
    <r>
      <rPr>
        <sz val="9"/>
        <rFont val="DejaVu Sans"/>
        <family val="2"/>
      </rPr>
      <t xml:space="preserve">仍主线程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需真机测</t>
    </r>
    <r>
      <rPr>
        <sz val="9"/>
        <rFont val="Arial"/>
        <family val="0"/>
        <charset val="1"/>
      </rPr>
      <t xml:space="preserve">durationMs</t>
    </r>
  </si>
  <si>
    <t xml:space="preserve">迁移脚手架</t>
  </si>
  <si>
    <r>
      <rPr>
        <sz val="9"/>
        <rFont val="Arial"/>
        <family val="0"/>
        <charset val="1"/>
      </rPr>
      <t xml:space="preserve">shadow/dryRun/matrix/landing/evidence/retirement </t>
    </r>
    <r>
      <rPr>
        <sz val="9"/>
        <rFont val="DejaVu Sans"/>
        <family val="2"/>
      </rPr>
      <t xml:space="preserve">等</t>
    </r>
  </si>
  <si>
    <r>
      <rPr>
        <sz val="9"/>
        <rFont val="Arial"/>
        <family val="0"/>
        <charset val="1"/>
      </rPr>
      <t xml:space="preserve">CanonicalExecutionShadow/DryRunMigrationPlanner/MigrationMatrix/NoCommitV82/RealDataShadowCopy/RuntimeHarness/ShadowDiagnostics/ShadowMigration/RetirementReadiness </t>
    </r>
    <r>
      <rPr>
        <sz val="9"/>
        <rFont val="DejaVu Sans"/>
        <family val="2"/>
      </rPr>
      <t xml:space="preserve">等</t>
    </r>
  </si>
  <si>
    <r>
      <rPr>
        <sz val="9"/>
        <rFont val="DejaVu Sans"/>
        <family val="2"/>
      </rPr>
      <t xml:space="preserve">齐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你要保留</t>
    </r>
    <r>
      <rPr>
        <sz val="9"/>
        <rFont val="Arial"/>
        <family val="0"/>
        <charset val="1"/>
      </rPr>
      <t xml:space="preserve">)</t>
    </r>
  </si>
  <si>
    <t xml:space="preserve">顺序</t>
  </si>
  <si>
    <r>
      <rPr>
        <b val="true"/>
        <sz val="11"/>
        <color rgb="FFFFFFFF"/>
        <rFont val="DejaVu Sans"/>
        <family val="2"/>
      </rPr>
      <t xml:space="preserve">项</t>
    </r>
    <r>
      <rPr>
        <b val="true"/>
        <sz val="11"/>
        <color rgb="FFFFFFFF"/>
        <rFont val="Arial"/>
        <family val="0"/>
        <charset val="1"/>
      </rPr>
      <t xml:space="preserve">(★=</t>
    </r>
    <r>
      <rPr>
        <b val="true"/>
        <sz val="11"/>
        <color rgb="FFFFFFFF"/>
        <rFont val="DejaVu Sans"/>
        <family val="2"/>
      </rPr>
      <t xml:space="preserve">承重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</si>
  <si>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端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范围</t>
    </r>
  </si>
  <si>
    <r>
      <rPr>
        <b val="true"/>
        <sz val="11"/>
        <color rgb="FFFFFFFF"/>
        <rFont val="DejaVu Sans"/>
        <family val="2"/>
      </rPr>
      <t xml:space="preserve">要建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改文件</t>
    </r>
  </si>
  <si>
    <t xml:space="preserve">抄哪个样板</t>
  </si>
  <si>
    <r>
      <rPr>
        <b val="true"/>
        <sz val="11"/>
        <color rgb="FFFFFFFF"/>
        <rFont val="DejaVu Sans"/>
        <family val="2"/>
      </rPr>
      <t xml:space="preserve">验收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真机证据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</si>
  <si>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依赖</t>
  </si>
  <si>
    <r>
      <rPr>
        <b val="true"/>
        <sz val="9"/>
        <rFont val="DejaVu Sans"/>
        <family val="2"/>
      </rPr>
      <t xml:space="preserve">★录音域 </t>
    </r>
    <r>
      <rPr>
        <b val="true"/>
        <sz val="9"/>
        <rFont val="Arial"/>
        <family val="0"/>
        <charset val="1"/>
      </rPr>
      <t xml:space="preserve">RealApplyPort</t>
    </r>
  </si>
  <si>
    <r>
      <rPr>
        <sz val="9"/>
        <rFont val="DejaVu Sans"/>
        <family val="2"/>
      </rPr>
      <t xml:space="preserve">双端</t>
    </r>
    <r>
      <rPr>
        <sz val="9"/>
        <rFont val="Arial"/>
        <family val="0"/>
        <charset val="1"/>
      </rPr>
      <t xml:space="preserve">(2</t>
    </r>
    <r>
      <rPr>
        <sz val="9"/>
        <rFont val="DejaVu Sans"/>
        <family val="2"/>
      </rPr>
      <t xml:space="preserve">文件</t>
    </r>
    <r>
      <rPr>
        <sz val="9"/>
        <rFont val="Arial"/>
        <family val="0"/>
        <charset val="1"/>
      </rPr>
      <t xml:space="preserve">)</t>
    </r>
  </si>
  <si>
    <t xml:space="preserve">IPhoneRecordingMetadataRealApplyPort.swift / MacRecordingMetadataRealApplyPort.swift</t>
  </si>
  <si>
    <r>
      <rPr>
        <sz val="9"/>
        <rFont val="Arial"/>
        <family val="0"/>
        <charset val="1"/>
      </rPr>
      <t xml:space="preserve">IPhoneLibraryMetadataRealApplyPort.swift </t>
    </r>
    <r>
      <rPr>
        <sz val="9"/>
        <rFont val="DejaVu Sans"/>
        <family val="2"/>
      </rPr>
      <t xml:space="preserve">整份</t>
    </r>
  </si>
  <si>
    <r>
      <rPr>
        <sz val="9"/>
        <rFont val="DejaVu Sans"/>
        <family val="2"/>
      </rPr>
      <t xml:space="preserve">录音域测试根 </t>
    </r>
    <r>
      <rPr>
        <sz val="9"/>
        <rFont val="Arial"/>
        <family val="0"/>
        <charset val="1"/>
      </rPr>
      <t xml:space="preserve">N=1 </t>
    </r>
    <r>
      <rPr>
        <sz val="9"/>
        <rFont val="DejaVu Sans"/>
        <family val="2"/>
      </rPr>
      <t xml:space="preserve">真写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回滚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域矩阵 </t>
    </r>
    <r>
      <rPr>
        <sz val="9"/>
        <rFont val="Arial"/>
        <family val="0"/>
        <charset val="1"/>
      </rPr>
      <t xml:space="preserve">readyToRetireLegacy</t>
    </r>
  </si>
  <si>
    <r>
      <rPr>
        <sz val="9"/>
        <rFont val="DejaVu Sans"/>
        <family val="2"/>
      </rPr>
      <t xml:space="preserve">无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最该先做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</si>
  <si>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DejaVu Sans"/>
        <family val="2"/>
      </rPr>
      <t xml:space="preserve">★录音域 </t>
    </r>
    <r>
      <rPr>
        <b val="true"/>
        <sz val="9"/>
        <rFont val="Arial"/>
        <family val="0"/>
        <charset val="1"/>
      </rPr>
      <t xml:space="preserve">ReadSideSeam</t>
    </r>
  </si>
  <si>
    <t xml:space="preserve">IPhoneRecordingMetadataReadSideSeam.swift / MacRecordingMetadataReadSideSeam.swift</t>
  </si>
  <si>
    <t xml:space="preserve">IPhoneLibraryMetadataReadSideSeam.swift</t>
  </si>
  <si>
    <r>
      <rPr>
        <sz val="9"/>
        <rFont val="DejaVu Sans"/>
        <family val="2"/>
      </rPr>
      <t xml:space="preserve">录音读侧影子等价</t>
    </r>
    <r>
      <rPr>
        <sz val="9"/>
        <rFont val="Arial"/>
        <family val="0"/>
        <charset val="1"/>
      </rPr>
      <t xml:space="preserve">(canonical==legacy),0 divergence</t>
    </r>
  </si>
  <si>
    <t xml:space="preserve">无</t>
  </si>
  <si>
    <r>
      <rPr>
        <b val="true"/>
        <sz val="9"/>
        <rFont val="DejaVu Sans"/>
        <family val="2"/>
      </rPr>
      <t xml:space="preserve">★音频 </t>
    </r>
    <r>
      <rPr>
        <b val="true"/>
        <sz val="9"/>
        <rFont val="Arial"/>
        <family val="0"/>
        <charset val="1"/>
      </rPr>
      <t xml:space="preserve">commit </t>
    </r>
    <r>
      <rPr>
        <b val="true"/>
        <sz val="9"/>
        <rFont val="DejaVu Sans"/>
        <family val="2"/>
      </rPr>
      <t xml:space="preserve">执行器 </t>
    </r>
    <r>
      <rPr>
        <b val="true"/>
        <sz val="9"/>
        <rFont val="Arial"/>
        <family val="0"/>
        <charset val="1"/>
      </rPr>
      <t xml:space="preserve">+ </t>
    </r>
    <r>
      <rPr>
        <b val="true"/>
        <sz val="9"/>
        <rFont val="DejaVu Sans"/>
        <family val="2"/>
      </rPr>
      <t xml:space="preserve">协议</t>
    </r>
  </si>
  <si>
    <r>
      <rPr>
        <sz val="9"/>
        <rFont val="DejaVu Sans"/>
        <family val="2"/>
      </rPr>
      <t xml:space="preserve">双端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共享协议</t>
    </r>
  </si>
  <si>
    <t xml:space="preserve">IPhoneAudioUploadCutoverExecutor.swift / MacAudioUploadCutoverExecutor.swift + protocol CanonicalAudioUploadCutoverExecutor</t>
  </si>
  <si>
    <r>
      <rPr>
        <sz val="9"/>
        <rFont val="Arial"/>
        <family val="0"/>
        <charset val="1"/>
      </rPr>
      <t xml:space="preserve">IPhoneLibraryMetadataCutoverExecutor + </t>
    </r>
    <r>
      <rPr>
        <sz val="9"/>
        <rFont val="DejaVu Sans"/>
        <family val="2"/>
      </rPr>
      <t xml:space="preserve">现成 </t>
    </r>
    <r>
      <rPr>
        <sz val="9"/>
        <rFont val="Arial"/>
        <family val="0"/>
        <charset val="1"/>
      </rPr>
      <t xml:space="preserve">CanonicalAudioUploadRuntimeExecutor.execute</t>
    </r>
  </si>
  <si>
    <r>
      <rPr>
        <sz val="9"/>
        <rFont val="DejaVu Sans"/>
        <family val="2"/>
      </rPr>
      <t xml:space="preserve">测试根 </t>
    </r>
    <r>
      <rPr>
        <sz val="9"/>
        <rFont val="Arial"/>
        <family val="0"/>
        <charset val="1"/>
      </rPr>
      <t xml:space="preserve">N=1 commit+</t>
    </r>
    <r>
      <rPr>
        <sz val="9"/>
        <rFont val="DejaVu Sans"/>
        <family val="2"/>
      </rPr>
      <t xml:space="preserve">回滚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真机音频真传到对端落盘</t>
    </r>
  </si>
  <si>
    <r>
      <rPr>
        <sz val="9"/>
        <rFont val="Arial"/>
        <family val="0"/>
        <charset val="1"/>
      </rPr>
      <t xml:space="preserve">ITEM(</t>
    </r>
    <r>
      <rPr>
        <sz val="9"/>
        <rFont val="DejaVu Sans"/>
        <family val="2"/>
      </rPr>
      <t xml:space="preserve">若</t>
    </r>
    <r>
      <rPr>
        <sz val="9"/>
        <rFont val="Arial"/>
        <family val="0"/>
        <charset val="1"/>
      </rPr>
      <t xml:space="preserve">Path A)</t>
    </r>
    <r>
      <rPr>
        <sz val="9"/>
        <rFont val="DejaVu Sans"/>
        <family val="2"/>
      </rPr>
      <t xml:space="preserve">真实上传端口</t>
    </r>
  </si>
  <si>
    <r>
      <rPr>
        <b val="true"/>
        <sz val="9"/>
        <rFont val="DejaVu Sans"/>
        <family val="2"/>
      </rPr>
      <t xml:space="preserve">卡顿收尾 </t>
    </r>
    <r>
      <rPr>
        <b val="true"/>
        <sz val="9"/>
        <rFont val="Arial"/>
        <family val="0"/>
        <charset val="1"/>
      </rPr>
      <t xml:space="preserve">+ </t>
    </r>
    <r>
      <rPr>
        <b val="true"/>
        <sz val="9"/>
        <rFont val="DejaVu Sans"/>
        <family val="2"/>
      </rPr>
      <t xml:space="preserve">真机确认</t>
    </r>
  </si>
  <si>
    <r>
      <rPr>
        <sz val="9"/>
        <rFont val="Arial"/>
        <family val="0"/>
        <charset val="1"/>
      </rPr>
      <t xml:space="preserve">StudyLibrarySyncCoordinator.swift:</t>
    </r>
    <r>
      <rPr>
        <sz val="9"/>
        <rFont val="DejaVu Sans"/>
        <family val="2"/>
      </rPr>
      <t xml:space="preserve">把 </t>
    </r>
    <r>
      <rPr>
        <sz val="9"/>
        <rFont val="Arial"/>
        <family val="0"/>
        <charset val="1"/>
      </rPr>
      <t xml:space="preserve">makeSyncManifest </t>
    </r>
    <r>
      <rPr>
        <sz val="9"/>
        <rFont val="DejaVu Sans"/>
        <family val="2"/>
      </rPr>
      <t xml:space="preserve">也移出主线程</t>
    </r>
  </si>
  <si>
    <r>
      <rPr>
        <sz val="9"/>
        <rFont val="DejaVu Sans"/>
        <family val="2"/>
      </rPr>
      <t xml:space="preserve">已有 </t>
    </r>
    <r>
      <rPr>
        <sz val="9"/>
        <rFont val="Arial"/>
        <family val="0"/>
        <charset val="1"/>
      </rPr>
      <t xml:space="preserve">nonisolated </t>
    </r>
    <r>
      <rPr>
        <sz val="9"/>
        <rFont val="DejaVu Sans"/>
        <family val="2"/>
      </rPr>
      <t xml:space="preserve">后台结构</t>
    </r>
  </si>
  <si>
    <r>
      <rPr>
        <sz val="9"/>
        <rFont val="DejaVu Sans"/>
        <family val="2"/>
      </rPr>
      <t xml:space="preserve">真机 </t>
    </r>
    <r>
      <rPr>
        <sz val="9"/>
        <rFont val="Arial"/>
        <family val="0"/>
        <charset val="1"/>
      </rPr>
      <t xml:space="preserve">inventoryBuildDurationMs </t>
    </r>
    <r>
      <rPr>
        <sz val="9"/>
        <rFont val="DejaVu Sans"/>
        <family val="2"/>
      </rPr>
      <t xml:space="preserve">明显下降、页面不卡</t>
    </r>
  </si>
  <si>
    <t xml:space="preserve">漏传真机确认</t>
  </si>
  <si>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已接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门控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切到 </t>
    </r>
    <r>
      <rPr>
        <sz val="9"/>
        <rFont val="Arial"/>
        <family val="0"/>
        <charset val="1"/>
      </rPr>
      <t xml:space="preserve">canonical existence apply </t>
    </r>
    <r>
      <rPr>
        <sz val="9"/>
        <rFont val="DejaVu Sans"/>
        <family val="2"/>
      </rPr>
      <t xml:space="preserve">后验证</t>
    </r>
  </si>
  <si>
    <t xml:space="preserve">—</t>
  </si>
  <si>
    <r>
      <rPr>
        <sz val="9"/>
        <rFont val="DejaVu Sans"/>
        <family val="2"/>
      </rPr>
      <t xml:space="preserve">真机</t>
    </r>
    <r>
      <rPr>
        <sz val="9"/>
        <rFont val="Arial"/>
        <family val="0"/>
        <charset val="1"/>
      </rPr>
      <t xml:space="preserve">:iPhone </t>
    </r>
    <r>
      <rPr>
        <sz val="9"/>
        <rFont val="DejaVu Sans"/>
        <family val="2"/>
      </rPr>
      <t xml:space="preserve">新录音→</t>
    </r>
    <r>
      <rPr>
        <sz val="9"/>
        <rFont val="Arial"/>
        <family val="0"/>
        <charset val="1"/>
      </rPr>
      <t xml:space="preserve">Mac </t>
    </r>
    <r>
      <rPr>
        <sz val="9"/>
        <rFont val="DejaVu Sans"/>
        <family val="2"/>
      </rPr>
      <t xml:space="preserve">入库</t>
    </r>
    <r>
      <rPr>
        <sz val="9"/>
        <rFont val="Arial"/>
        <family val="0"/>
        <charset val="1"/>
      </rPr>
      <t xml:space="preserve">;jsonl recordingsApplied&gt;0</t>
    </r>
  </si>
  <si>
    <t xml:space="preserve">录音域就绪</t>
  </si>
  <si>
    <r>
      <rPr>
        <b val="true"/>
        <sz val="9"/>
        <rFont val="DejaVu Sans"/>
        <family val="2"/>
      </rPr>
      <t xml:space="preserve">★真实库切回证明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DejaVu Sans"/>
        <family val="2"/>
      </rPr>
      <t xml:space="preserve">命门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</si>
  <si>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rFont val="DejaVu Sans"/>
        <family val="2"/>
      </rPr>
      <t xml:space="preserve">共享</t>
    </r>
    <r>
      <rPr>
        <sz val="9"/>
        <rFont val="Arial"/>
        <family val="0"/>
        <charset val="1"/>
      </rPr>
      <t xml:space="preserve">/Debug</t>
    </r>
  </si>
  <si>
    <r>
      <rPr>
        <sz val="9"/>
        <rFont val="DejaVu Sans"/>
        <family val="2"/>
      </rPr>
      <t xml:space="preserve">接 </t>
    </r>
    <r>
      <rPr>
        <sz val="9"/>
        <rFont val="Arial"/>
        <family val="0"/>
        <charset val="1"/>
      </rPr>
      <t xml:space="preserve">driver </t>
    </r>
    <r>
      <rPr>
        <sz val="9"/>
        <rFont val="DejaVu Sans"/>
        <family val="2"/>
      </rPr>
      <t xml:space="preserve">调 </t>
    </r>
    <r>
      <rPr>
        <sz val="9"/>
        <rFont val="Arial"/>
        <family val="0"/>
        <charset val="1"/>
      </rPr>
      <t xml:space="preserve">CanonicalSwitchBackRealisticRootHarness.run </t>
    </r>
    <r>
      <rPr>
        <sz val="9"/>
        <rFont val="DejaVu Sans"/>
        <family val="2"/>
      </rPr>
      <t xml:space="preserve">于真实库副本</t>
    </r>
  </si>
  <si>
    <r>
      <rPr>
        <sz val="9"/>
        <rFont val="DejaVu Sans"/>
        <family val="2"/>
      </rPr>
      <t xml:space="preserve">已有 </t>
    </r>
    <r>
      <rPr>
        <sz val="9"/>
        <rFont val="Arial"/>
        <family val="0"/>
        <charset val="1"/>
      </rPr>
      <t xml:space="preserve">harness(CanonicalLegacyCompatibility.swift)</t>
    </r>
  </si>
  <si>
    <r>
      <rPr>
        <sz val="9"/>
        <rFont val="DejaVu Sans"/>
        <family val="2"/>
      </rPr>
      <t xml:space="preserve">真实库副本『</t>
    </r>
    <r>
      <rPr>
        <sz val="9"/>
        <rFont val="Arial"/>
        <family val="0"/>
        <charset val="1"/>
      </rPr>
      <t xml:space="preserve">canonical</t>
    </r>
    <r>
      <rPr>
        <sz val="9"/>
        <rFont val="DejaVu Sans"/>
        <family val="2"/>
      </rPr>
      <t xml:space="preserve">写→切回</t>
    </r>
    <r>
      <rPr>
        <sz val="9"/>
        <rFont val="Arial"/>
        <family val="0"/>
        <charset val="1"/>
      </rPr>
      <t xml:space="preserve">legacy</t>
    </r>
    <r>
      <rPr>
        <sz val="9"/>
        <rFont val="DejaVu Sans"/>
        <family val="2"/>
      </rPr>
      <t xml:space="preserve">读』数据无损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崩溃恢复</t>
    </r>
  </si>
  <si>
    <t xml:space="preserve">在灰度前必须</t>
  </si>
  <si>
    <r>
      <rPr>
        <b val="true"/>
        <sz val="9"/>
        <rFont val="DejaVu Sans"/>
        <family val="2"/>
      </rPr>
      <t xml:space="preserve">生产文件端口转真写</t>
    </r>
    <r>
      <rPr>
        <b val="true"/>
        <sz val="9"/>
        <rFont val="Arial"/>
        <family val="0"/>
        <charset val="1"/>
      </rPr>
      <t xml:space="preserve">(P2)</t>
    </r>
  </si>
  <si>
    <r>
      <rPr>
        <sz val="9"/>
        <rFont val="Arial"/>
        <family val="0"/>
        <charset val="1"/>
      </rPr>
      <t xml:space="preserve">IPhone/MacCanonicalProductionFilePort.swift </t>
    </r>
    <r>
      <rPr>
        <sz val="9"/>
        <rFont val="DejaVu Sans"/>
        <family val="2"/>
      </rPr>
      <t xml:space="preserve">开放 </t>
    </r>
    <r>
      <rPr>
        <sz val="9"/>
        <rFont val="Arial"/>
        <family val="0"/>
        <charset val="1"/>
      </rPr>
      <t xml:space="preserve">allowProductionRootWrites</t>
    </r>
  </si>
  <si>
    <r>
      <rPr>
        <sz val="9"/>
        <rFont val="Arial"/>
        <family val="0"/>
        <charset val="1"/>
      </rPr>
      <t xml:space="preserve">IPhoneLibraryMetadataRealApplyPort </t>
    </r>
    <r>
      <rPr>
        <sz val="9"/>
        <rFont val="DejaVu Sans"/>
        <family val="2"/>
      </rPr>
      <t xml:space="preserve">的真写模式</t>
    </r>
  </si>
  <si>
    <r>
      <rPr>
        <sz val="9"/>
        <rFont val="DejaVu Sans"/>
        <family val="2"/>
      </rPr>
      <t xml:space="preserve">真实根 </t>
    </r>
    <r>
      <rPr>
        <sz val="9"/>
        <rFont val="Arial"/>
        <family val="0"/>
        <charset val="1"/>
      </rPr>
      <t xml:space="preserve">N=1 </t>
    </r>
    <r>
      <rPr>
        <sz val="9"/>
        <rFont val="DejaVu Sans"/>
        <family val="2"/>
      </rPr>
      <t xml:space="preserve">写</t>
    </r>
    <r>
      <rPr>
        <sz val="9"/>
        <rFont val="Arial"/>
        <family val="0"/>
        <charset val="1"/>
      </rPr>
      <t xml:space="preserve">+</t>
    </r>
    <r>
      <rPr>
        <sz val="9"/>
        <rFont val="DejaVu Sans"/>
        <family val="2"/>
      </rPr>
      <t xml:space="preserve">回滚</t>
    </r>
    <r>
      <rPr>
        <sz val="9"/>
        <rFont val="Arial"/>
        <family val="0"/>
        <charset val="1"/>
      </rPr>
      <t xml:space="preserve">(</t>
    </r>
    <r>
      <rPr>
        <sz val="9"/>
        <rFont val="DejaVu Sans"/>
        <family val="2"/>
      </rPr>
      <t xml:space="preserve">先备份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</si>
  <si>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1/2 </t>
    </r>
    <r>
      <rPr>
        <sz val="9"/>
        <rFont val="DejaVu Sans"/>
        <family val="2"/>
      </rPr>
      <t xml:space="preserve">就绪 </t>
    </r>
    <r>
      <rPr>
        <sz val="9"/>
        <rFont val="Arial"/>
        <family val="0"/>
        <charset val="1"/>
      </rPr>
      <t xml:space="preserve">+ </t>
    </r>
    <r>
      <rPr>
        <sz val="9"/>
        <rFont val="DejaVu Sans"/>
        <family val="2"/>
      </rPr>
      <t xml:space="preserve">真机灰度</t>
    </r>
  </si>
  <si>
    <r>
      <rPr>
        <b val="true"/>
        <sz val="9"/>
        <rFont val="DejaVu Sans"/>
        <family val="2"/>
      </rPr>
      <t xml:space="preserve">单一主开关收敛 </t>
    </r>
    <r>
      <rPr>
        <b val="true"/>
        <sz val="9"/>
        <rFont val="Arial"/>
        <family val="0"/>
        <charset val="1"/>
      </rPr>
      <t xml:space="preserve">+ </t>
    </r>
    <r>
      <rPr>
        <b val="true"/>
        <sz val="9"/>
        <rFont val="DejaVu Sans"/>
        <family val="2"/>
      </rPr>
      <t xml:space="preserve">状态一致</t>
    </r>
    <r>
      <rPr>
        <b val="true"/>
        <sz val="9"/>
        <rFont val="Arial"/>
        <family val="0"/>
        <charset val="1"/>
      </rPr>
      <t xml:space="preserve">(P2)</t>
    </r>
  </si>
  <si>
    <r>
      <rPr>
        <sz val="9"/>
        <rFont val="DejaVu Sans"/>
        <family val="2"/>
      </rPr>
      <t xml:space="preserve">双端 </t>
    </r>
    <r>
      <rPr>
        <sz val="9"/>
        <rFont val="Arial"/>
        <family val="0"/>
        <charset val="1"/>
      </rPr>
      <t xml:space="preserve">UI</t>
    </r>
  </si>
  <si>
    <r>
      <rPr>
        <sz val="9"/>
        <rFont val="Arial"/>
        <family val="0"/>
        <charset val="1"/>
      </rPr>
      <t xml:space="preserve">IPhoneSettingsView/MacSettingsView </t>
    </r>
    <r>
      <rPr>
        <sz val="9"/>
        <rFont val="DejaVu Sans"/>
        <family val="2"/>
      </rPr>
      <t xml:space="preserve">收敛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状态读统一走 </t>
    </r>
    <r>
      <rPr>
        <sz val="9"/>
        <rFont val="Arial"/>
        <family val="0"/>
        <charset val="1"/>
      </rPr>
      <t xml:space="preserve">canonical </t>
    </r>
    <r>
      <rPr>
        <sz val="9"/>
        <rFont val="DejaVu Sans"/>
        <family val="2"/>
      </rPr>
      <t xml:space="preserve">投影</t>
    </r>
  </si>
  <si>
    <r>
      <rPr>
        <sz val="9"/>
        <rFont val="DejaVu Sans"/>
        <family val="2"/>
      </rPr>
      <t xml:space="preserve">现有 </t>
    </r>
    <r>
      <rPr>
        <sz val="9"/>
        <rFont val="Arial"/>
        <family val="0"/>
        <charset val="1"/>
      </rPr>
      <t xml:space="preserve">KernelSwitch + effectiveStudy*</t>
    </r>
  </si>
  <si>
    <r>
      <rPr>
        <sz val="9"/>
        <rFont val="DejaVu Sans"/>
        <family val="2"/>
      </rPr>
      <t xml:space="preserve">设置只剩一个有效开关</t>
    </r>
    <r>
      <rPr>
        <sz val="9"/>
        <rFont val="Arial"/>
        <family val="0"/>
        <charset val="1"/>
      </rPr>
      <t xml:space="preserve">;</t>
    </r>
    <r>
      <rPr>
        <sz val="9"/>
        <rFont val="DejaVu Sans"/>
        <family val="2"/>
      </rPr>
      <t xml:space="preserve">双端状态不错位</t>
    </r>
  </si>
  <si>
    <t xml:space="preserve">读切换</t>
  </si>
  <si>
    <r>
      <rPr>
        <b val="true"/>
        <sz val="9"/>
        <rFont val="DejaVu Sans"/>
        <family val="2"/>
      </rPr>
      <t xml:space="preserve">不做</t>
    </r>
    <r>
      <rPr>
        <b val="true"/>
        <sz val="9"/>
        <rFont val="Arial"/>
        <family val="0"/>
        <charset val="1"/>
      </rPr>
      <t xml:space="preserve">(Path B)</t>
    </r>
  </si>
  <si>
    <r>
      <rPr>
        <sz val="9"/>
        <rFont val="DejaVu Sans"/>
        <family val="2"/>
      </rPr>
      <t xml:space="preserve">生产传输端口 </t>
    </r>
    <r>
      <rPr>
        <sz val="9"/>
        <rFont val="Arial"/>
        <family val="0"/>
        <charset val="1"/>
      </rPr>
      <t xml:space="preserve">sendRequest / </t>
    </r>
    <r>
      <rPr>
        <sz val="9"/>
        <rFont val="DejaVu Sans"/>
        <family val="2"/>
      </rPr>
      <t xml:space="preserve">生产上传端口真实化</t>
    </r>
  </si>
  <si>
    <r>
      <rPr>
        <sz val="9"/>
        <rFont val="DejaVu Sans"/>
        <family val="2"/>
      </rPr>
      <t xml:space="preserve">保留 </t>
    </r>
    <r>
      <rPr>
        <sz val="9"/>
        <rFont val="Arial"/>
        <family val="0"/>
        <charset val="1"/>
      </rPr>
      <t xml:space="preserve">legacy TLS/HMAC </t>
    </r>
    <r>
      <rPr>
        <sz val="9"/>
        <rFont val="DejaVu Sans"/>
        <family val="2"/>
      </rPr>
      <t xml:space="preserve">与 </t>
    </r>
    <r>
      <rPr>
        <sz val="9"/>
        <rFont val="Arial"/>
        <family val="0"/>
        <charset val="1"/>
      </rPr>
      <t xml:space="preserve">legacy </t>
    </r>
    <r>
      <rPr>
        <sz val="9"/>
        <rFont val="DejaVu Sans"/>
        <family val="2"/>
      </rPr>
      <t xml:space="preserve">上传</t>
    </r>
    <r>
      <rPr>
        <sz val="9"/>
        <rFont val="Arial"/>
        <family val="0"/>
        <charset val="1"/>
      </rPr>
      <t xml:space="preserve">,</t>
    </r>
    <r>
      <rPr>
        <sz val="9"/>
        <rFont val="DejaVu Sans"/>
        <family val="2"/>
      </rPr>
      <t xml:space="preserve">勿重写</t>
    </r>
  </si>
  <si>
    <t xml:space="preserve">应建组件数</t>
  </si>
  <si>
    <r>
      <rPr>
        <b val="true"/>
        <sz val="11"/>
        <color rgb="FFFFFFFF"/>
        <rFont val="DejaVu Sans"/>
        <family val="2"/>
      </rPr>
      <t xml:space="preserve">已完成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加权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</si>
  <si>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完成度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</si>
  <si>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sz val="10"/>
        <rFont val="DejaVu Sans"/>
        <family val="2"/>
      </rPr>
      <t xml:space="preserve">核心模型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规划</t>
    </r>
  </si>
  <si>
    <r>
      <rPr>
        <sz val="10"/>
        <rFont val="DejaVu Sans"/>
        <family val="2"/>
      </rPr>
      <t xml:space="preserve">域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录音元数据</t>
    </r>
  </si>
  <si>
    <r>
      <rPr>
        <sz val="10"/>
        <rFont val="DejaVu Sans"/>
        <family val="2"/>
      </rPr>
      <t xml:space="preserve">域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库元数据</t>
    </r>
  </si>
  <si>
    <r>
      <rPr>
        <sz val="10"/>
        <rFont val="DejaVu Sans"/>
        <family val="2"/>
      </rPr>
      <t xml:space="preserve">域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生成产物</t>
    </r>
  </si>
  <si>
    <r>
      <rPr>
        <sz val="10"/>
        <rFont val="DejaVu Sans"/>
        <family val="2"/>
      </rPr>
      <t xml:space="preserve">域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墓碑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冲突</t>
    </r>
  </si>
  <si>
    <r>
      <rPr>
        <sz val="10"/>
        <rFont val="DejaVu Sans"/>
        <family val="2"/>
      </rPr>
      <t xml:space="preserve">域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音频上传</t>
    </r>
  </si>
  <si>
    <r>
      <rPr>
        <sz val="10"/>
        <rFont val="DejaVu Sans"/>
        <family val="2"/>
      </rPr>
      <t xml:space="preserve">上传</t>
    </r>
    <r>
      <rPr>
        <sz val="10"/>
        <rFont val="Arial"/>
        <family val="0"/>
        <charset val="1"/>
      </rPr>
      <t xml:space="preserve">runtime</t>
    </r>
    <r>
      <rPr>
        <sz val="10"/>
        <rFont val="DejaVu Sans"/>
        <family val="2"/>
      </rPr>
      <t xml:space="preserve">层</t>
    </r>
  </si>
  <si>
    <r>
      <rPr>
        <sz val="10"/>
        <rFont val="DejaVu Sans"/>
        <family val="2"/>
      </rPr>
      <t xml:space="preserve">接口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门面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开关</t>
    </r>
  </si>
  <si>
    <r>
      <rPr>
        <sz val="10"/>
        <rFont val="DejaVu Sans"/>
        <family val="2"/>
      </rPr>
      <t xml:space="preserve">读运行时</t>
    </r>
    <r>
      <rPr>
        <sz val="10"/>
        <rFont val="Arial"/>
        <family val="0"/>
        <charset val="1"/>
      </rPr>
      <t xml:space="preserve">/UI</t>
    </r>
  </si>
  <si>
    <r>
      <rPr>
        <sz val="10"/>
        <rFont val="DejaVu Sans"/>
        <family val="2"/>
      </rPr>
      <t xml:space="preserve">性能</t>
    </r>
    <r>
      <rPr>
        <sz val="10"/>
        <rFont val="Arial"/>
        <family val="0"/>
        <charset val="1"/>
      </rPr>
      <t xml:space="preserve">/inventory</t>
    </r>
  </si>
  <si>
    <r>
      <rPr>
        <b val="true"/>
        <sz val="10"/>
        <rFont val="DejaVu Sans"/>
        <family val="2"/>
      </rPr>
      <t xml:space="preserve">合计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DejaVu Sans"/>
        <family val="2"/>
      </rPr>
      <t xml:space="preserve">新内核完成度</t>
    </r>
  </si>
  <si>
    <r>
      <rPr>
        <sz val="9"/>
        <rFont val="DejaVu Sans"/>
        <family val="2"/>
      </rPr>
      <t xml:space="preserve">• 权重：✅</t>
    </r>
    <r>
      <rPr>
        <sz val="9"/>
        <rFont val="Arial"/>
        <family val="0"/>
        <charset val="1"/>
      </rPr>
      <t xml:space="preserve">=1, 🟡(</t>
    </r>
    <r>
      <rPr>
        <sz val="9"/>
        <rFont val="DejaVu Sans"/>
        <family val="2"/>
      </rPr>
      <t xml:space="preserve">门控</t>
    </r>
    <r>
      <rPr>
        <sz val="9"/>
        <rFont val="Arial"/>
        <family val="0"/>
        <charset val="1"/>
      </rPr>
      <t xml:space="preserve">/dry-run/</t>
    </r>
    <r>
      <rPr>
        <sz val="9"/>
        <rFont val="DejaVu Sans"/>
        <family val="2"/>
      </rPr>
      <t xml:space="preserve">空壳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未跑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半改</t>
    </r>
    <r>
      <rPr>
        <sz val="9"/>
        <rFont val="Arial"/>
        <family val="0"/>
        <charset val="1"/>
      </rPr>
      <t xml:space="preserve">)=0.5, ❌=0, ⏸</t>
    </r>
    <r>
      <rPr>
        <sz val="9"/>
        <rFont val="DejaVu Sans"/>
        <family val="2"/>
      </rPr>
      <t xml:space="preserve">保留</t>
    </r>
    <r>
      <rPr>
        <sz val="9"/>
        <rFont val="Arial"/>
        <family val="0"/>
        <charset val="1"/>
      </rPr>
      <t xml:space="preserve">(legacy,Path B</t>
    </r>
    <r>
      <rPr>
        <sz val="9"/>
        <rFont val="DejaVu Sans"/>
        <family val="2"/>
      </rPr>
      <t xml:space="preserve">不重写</t>
    </r>
    <r>
      <rPr>
        <sz val="9"/>
        <rFont val="Arial"/>
        <family val="0"/>
        <charset val="1"/>
      </rPr>
      <t xml:space="preserve">)=</t>
    </r>
    <r>
      <rPr>
        <sz val="9"/>
        <rFont val="DejaVu Sans"/>
        <family val="2"/>
      </rPr>
      <t xml:space="preserve">不计。</t>
    </r>
  </si>
  <si>
    <r>
      <rPr>
        <sz val="9"/>
        <rFont val="DejaVu Sans"/>
        <family val="2"/>
      </rPr>
      <t xml:space="preserve">• ★承重件</t>
    </r>
    <r>
      <rPr>
        <sz val="9"/>
        <rFont val="Arial"/>
        <family val="0"/>
        <charset val="1"/>
      </rPr>
      <t xml:space="preserve">=</t>
    </r>
    <r>
      <rPr>
        <sz val="9"/>
        <rFont val="DejaVu Sans"/>
        <family val="2"/>
      </rPr>
      <t xml:space="preserve">直接决定『双端可用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满足功能</t>
    </r>
    <r>
      <rPr>
        <sz val="9"/>
        <rFont val="Arial"/>
        <family val="0"/>
        <charset val="1"/>
      </rPr>
      <t xml:space="preserve">/</t>
    </r>
    <r>
      <rPr>
        <sz val="9"/>
        <rFont val="DejaVu Sans"/>
        <family val="2"/>
      </rPr>
      <t xml:space="preserve">不卡顿』</t>
    </r>
    <r>
      <rPr>
        <sz val="9"/>
        <rFont val="Arial"/>
        <family val="0"/>
        <charset val="1"/>
      </rPr>
      <t xml:space="preserve">:</t>
    </r>
    <r>
      <rPr>
        <sz val="9"/>
        <rFont val="DejaVu Sans"/>
        <family val="2"/>
      </rPr>
      <t xml:space="preserve">录音域 </t>
    </r>
    <r>
      <rPr>
        <sz val="9"/>
        <rFont val="Arial"/>
        <family val="0"/>
        <charset val="1"/>
      </rPr>
      <t xml:space="preserve">ApplyPort+ReadSeam</t>
    </r>
    <r>
      <rPr>
        <sz val="9"/>
        <rFont val="DejaVu Sans"/>
        <family val="2"/>
      </rPr>
      <t xml:space="preserve">、音频 </t>
    </r>
    <r>
      <rPr>
        <sz val="9"/>
        <rFont val="Arial"/>
        <family val="0"/>
        <charset val="1"/>
      </rPr>
      <t xml:space="preserve">commit</t>
    </r>
    <r>
      <rPr>
        <sz val="9"/>
        <rFont val="DejaVu Sans"/>
        <family val="2"/>
      </rPr>
      <t xml:space="preserve">、真实库切回证明。</t>
    </r>
  </si>
  <si>
    <r>
      <rPr>
        <sz val="9"/>
        <rFont val="DejaVu Sans"/>
        <family val="2"/>
      </rPr>
      <t xml:space="preserve">• 改状态后把总表 </t>
    </r>
    <r>
      <rPr>
        <sz val="9"/>
        <rFont val="Arial"/>
        <family val="0"/>
        <charset val="1"/>
      </rPr>
      <t xml:space="preserve">F </t>
    </r>
    <r>
      <rPr>
        <sz val="9"/>
        <rFont val="DejaVu Sans"/>
        <family val="2"/>
      </rPr>
      <t xml:space="preserve">列改 </t>
    </r>
    <r>
      <rPr>
        <sz val="9"/>
        <rFont val="Arial"/>
        <family val="0"/>
        <charset val="1"/>
      </rPr>
      <t xml:space="preserve">1/0.5/0,</t>
    </r>
    <r>
      <rPr>
        <sz val="9"/>
        <rFont val="DejaVu Sans"/>
        <family val="2"/>
      </rPr>
      <t xml:space="preserve">本页自动重算</t>
    </r>
    <r>
      <rPr>
        <sz val="9"/>
        <rFont val="Arial"/>
        <family val="0"/>
        <charset val="1"/>
      </rPr>
      <t xml:space="preserve">(Excel </t>
    </r>
    <r>
      <rPr>
        <sz val="9"/>
        <rFont val="DejaVu Sans"/>
        <family val="2"/>
      </rPr>
      <t xml:space="preserve">内重算保存</t>
    </r>
    <r>
      <rPr>
        <sz val="9"/>
        <rFont val="Arial"/>
        <family val="0"/>
        <charset val="1"/>
      </rPr>
      <t xml:space="preserve">)</t>
    </r>
    <r>
      <rPr>
        <sz val="9"/>
        <rFont val="DejaVu Sans"/>
        <family val="2"/>
      </rPr>
      <t xml:space="preserve">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</si>
</sst>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9"/>
      <name val="DejaVu Sans"/>
      <family val="2"/>
    </font>
    <font>
      <b val="true"/>
      <sz val="9"/>
      <name val="Arial"/>
      <family val="0"/>
      <charset val="1"/>
    </font>
    <font>
      <sz val="9"/>
      <name val="DejaVu Sans"/>
      <family val="2"/>
    </font>
    <font>
      <sz val="9"/>
      <name val="Arial"/>
      <family val="0"/>
      <charset val="1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7E6E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E7E6E6"/>
        <bgColor rgb="FFD9E1F2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customFormat="false" ht="33.75" hidden="false" customHeight="true" outlineLevel="0" collapsed="false">
      <c r="A2" s="3" t="s">
        <v>7</v>
      </c>
      <c r="B2" s="4" t="s">
        <v>8</v>
      </c>
      <c r="C2" s="4" t="s">
        <v>9</v>
      </c>
      <c r="D2" s="5" t="s">
        <v>10</v>
      </c>
      <c r="E2" s="6" t="s">
        <v>11</v>
      </c>
      <c r="F2" s="7" t="n">
        <v>1</v>
      </c>
      <c r="G2" s="5" t="s">
        <v>12</v>
      </c>
    </row>
    <row r="3" customFormat="false" ht="33.75" hidden="false" customHeight="true" outlineLevel="0" collapsed="false">
      <c r="A3" s="3" t="s">
        <v>7</v>
      </c>
      <c r="B3" s="5" t="s">
        <v>13</v>
      </c>
      <c r="C3" s="4" t="s">
        <v>9</v>
      </c>
      <c r="D3" s="5" t="s">
        <v>14</v>
      </c>
      <c r="E3" s="6" t="s">
        <v>11</v>
      </c>
      <c r="F3" s="7" t="n">
        <v>1</v>
      </c>
      <c r="G3" s="4"/>
    </row>
    <row r="4" customFormat="false" ht="33.75" hidden="false" customHeight="true" outlineLevel="0" collapsed="false">
      <c r="A4" s="3" t="s">
        <v>7</v>
      </c>
      <c r="B4" s="5" t="s">
        <v>15</v>
      </c>
      <c r="C4" s="4" t="s">
        <v>9</v>
      </c>
      <c r="D4" s="5" t="s">
        <v>16</v>
      </c>
      <c r="E4" s="6" t="s">
        <v>11</v>
      </c>
      <c r="F4" s="7" t="n">
        <v>1</v>
      </c>
      <c r="G4" s="4"/>
    </row>
    <row r="5" customFormat="false" ht="33.75" hidden="false" customHeight="true" outlineLevel="0" collapsed="false">
      <c r="A5" s="3" t="s">
        <v>7</v>
      </c>
      <c r="B5" s="4" t="s">
        <v>17</v>
      </c>
      <c r="C5" s="4" t="s">
        <v>9</v>
      </c>
      <c r="D5" s="5" t="s">
        <v>18</v>
      </c>
      <c r="E5" s="6" t="s">
        <v>11</v>
      </c>
      <c r="F5" s="7" t="n">
        <v>1</v>
      </c>
      <c r="G5" s="4" t="s">
        <v>19</v>
      </c>
    </row>
    <row r="6" customFormat="false" ht="33.75" hidden="false" customHeight="true" outlineLevel="0" collapsed="false">
      <c r="A6" s="3" t="s">
        <v>7</v>
      </c>
      <c r="B6" s="4" t="s">
        <v>20</v>
      </c>
      <c r="C6" s="4" t="s">
        <v>9</v>
      </c>
      <c r="D6" s="5" t="s">
        <v>21</v>
      </c>
      <c r="E6" s="6" t="s">
        <v>11</v>
      </c>
      <c r="F6" s="7" t="n">
        <v>1</v>
      </c>
      <c r="G6" s="4"/>
    </row>
    <row r="7" customFormat="false" ht="33.75" hidden="false" customHeight="true" outlineLevel="0" collapsed="false">
      <c r="A7" s="3" t="s">
        <v>7</v>
      </c>
      <c r="B7" s="4" t="s">
        <v>22</v>
      </c>
      <c r="C7" s="4" t="s">
        <v>9</v>
      </c>
      <c r="D7" s="5" t="s">
        <v>23</v>
      </c>
      <c r="E7" s="6" t="s">
        <v>11</v>
      </c>
      <c r="F7" s="7" t="n">
        <v>1</v>
      </c>
      <c r="G7" s="4"/>
    </row>
    <row r="8" customFormat="false" ht="33.75" hidden="false" customHeight="true" outlineLevel="0" collapsed="false">
      <c r="A8" s="3" t="s">
        <v>24</v>
      </c>
      <c r="B8" s="4" t="s">
        <v>25</v>
      </c>
      <c r="C8" s="4" t="s">
        <v>9</v>
      </c>
      <c r="D8" s="5" t="s">
        <v>26</v>
      </c>
      <c r="E8" s="6" t="s">
        <v>11</v>
      </c>
      <c r="F8" s="7" t="n">
        <v>1</v>
      </c>
      <c r="G8" s="4"/>
    </row>
    <row r="9" customFormat="false" ht="33.75" hidden="false" customHeight="true" outlineLevel="0" collapsed="false">
      <c r="A9" s="3" t="s">
        <v>24</v>
      </c>
      <c r="B9" s="5" t="s">
        <v>27</v>
      </c>
      <c r="C9" s="5" t="s">
        <v>28</v>
      </c>
      <c r="D9" s="5" t="s">
        <v>29</v>
      </c>
      <c r="E9" s="6" t="s">
        <v>11</v>
      </c>
      <c r="F9" s="7" t="n">
        <v>1</v>
      </c>
      <c r="G9" s="4"/>
    </row>
    <row r="10" customFormat="false" ht="33.75" hidden="false" customHeight="true" outlineLevel="0" collapsed="false">
      <c r="A10" s="3" t="s">
        <v>24</v>
      </c>
      <c r="B10" s="5" t="s">
        <v>30</v>
      </c>
      <c r="C10" s="5" t="s">
        <v>28</v>
      </c>
      <c r="D10" s="5" t="s">
        <v>31</v>
      </c>
      <c r="E10" s="6" t="s">
        <v>11</v>
      </c>
      <c r="F10" s="7" t="n">
        <v>1</v>
      </c>
      <c r="G10" s="4"/>
    </row>
    <row r="11" customFormat="false" ht="33.75" hidden="false" customHeight="true" outlineLevel="0" collapsed="false">
      <c r="A11" s="3" t="s">
        <v>24</v>
      </c>
      <c r="B11" s="4" t="s">
        <v>32</v>
      </c>
      <c r="C11" s="5" t="s">
        <v>28</v>
      </c>
      <c r="D11" s="5" t="s">
        <v>33</v>
      </c>
      <c r="E11" s="8" t="s">
        <v>34</v>
      </c>
      <c r="F11" s="7" t="n">
        <v>0</v>
      </c>
      <c r="G11" s="4" t="s">
        <v>35</v>
      </c>
    </row>
    <row r="12" customFormat="false" ht="33.75" hidden="false" customHeight="true" outlineLevel="0" collapsed="false">
      <c r="A12" s="3" t="s">
        <v>24</v>
      </c>
      <c r="B12" s="4" t="s">
        <v>36</v>
      </c>
      <c r="C12" s="5" t="s">
        <v>28</v>
      </c>
      <c r="D12" s="5" t="s">
        <v>37</v>
      </c>
      <c r="E12" s="8" t="s">
        <v>34</v>
      </c>
      <c r="F12" s="7" t="n">
        <v>0</v>
      </c>
      <c r="G12" s="4" t="s">
        <v>35</v>
      </c>
    </row>
    <row r="13" customFormat="false" ht="33.75" hidden="false" customHeight="true" outlineLevel="0" collapsed="false">
      <c r="A13" s="3" t="s">
        <v>24</v>
      </c>
      <c r="B13" s="5" t="s">
        <v>27</v>
      </c>
      <c r="C13" s="5" t="s">
        <v>38</v>
      </c>
      <c r="D13" s="5" t="s">
        <v>39</v>
      </c>
      <c r="E13" s="6" t="s">
        <v>11</v>
      </c>
      <c r="F13" s="7" t="n">
        <v>1</v>
      </c>
      <c r="G13" s="4"/>
    </row>
    <row r="14" customFormat="false" ht="33.75" hidden="false" customHeight="true" outlineLevel="0" collapsed="false">
      <c r="A14" s="3" t="s">
        <v>24</v>
      </c>
      <c r="B14" s="5" t="s">
        <v>30</v>
      </c>
      <c r="C14" s="5" t="s">
        <v>38</v>
      </c>
      <c r="D14" s="5" t="s">
        <v>40</v>
      </c>
      <c r="E14" s="6" t="s">
        <v>11</v>
      </c>
      <c r="F14" s="7" t="n">
        <v>1</v>
      </c>
      <c r="G14" s="4"/>
    </row>
    <row r="15" customFormat="false" ht="33.75" hidden="false" customHeight="true" outlineLevel="0" collapsed="false">
      <c r="A15" s="3" t="s">
        <v>24</v>
      </c>
      <c r="B15" s="4" t="s">
        <v>32</v>
      </c>
      <c r="C15" s="5" t="s">
        <v>38</v>
      </c>
      <c r="D15" s="5" t="s">
        <v>41</v>
      </c>
      <c r="E15" s="8" t="s">
        <v>34</v>
      </c>
      <c r="F15" s="7" t="n">
        <v>0</v>
      </c>
      <c r="G15" s="4" t="s">
        <v>35</v>
      </c>
    </row>
    <row r="16" customFormat="false" ht="33.75" hidden="false" customHeight="true" outlineLevel="0" collapsed="false">
      <c r="A16" s="3" t="s">
        <v>24</v>
      </c>
      <c r="B16" s="4" t="s">
        <v>36</v>
      </c>
      <c r="C16" s="5" t="s">
        <v>38</v>
      </c>
      <c r="D16" s="5" t="s">
        <v>42</v>
      </c>
      <c r="E16" s="8" t="s">
        <v>34</v>
      </c>
      <c r="F16" s="7" t="n">
        <v>0</v>
      </c>
      <c r="G16" s="4" t="s">
        <v>35</v>
      </c>
    </row>
    <row r="17" customFormat="false" ht="33.75" hidden="false" customHeight="true" outlineLevel="0" collapsed="false">
      <c r="A17" s="3" t="s">
        <v>24</v>
      </c>
      <c r="B17" s="4" t="s">
        <v>43</v>
      </c>
      <c r="C17" s="5" t="s">
        <v>38</v>
      </c>
      <c r="D17" s="5" t="s">
        <v>44</v>
      </c>
      <c r="E17" s="9" t="s">
        <v>45</v>
      </c>
      <c r="F17" s="7" t="n">
        <v>0.5</v>
      </c>
      <c r="G17" s="4" t="s">
        <v>46</v>
      </c>
    </row>
    <row r="18" customFormat="false" ht="33.75" hidden="false" customHeight="true" outlineLevel="0" collapsed="false">
      <c r="A18" s="3" t="s">
        <v>47</v>
      </c>
      <c r="B18" s="4" t="s">
        <v>48</v>
      </c>
      <c r="C18" s="4" t="s">
        <v>9</v>
      </c>
      <c r="D18" s="5" t="s">
        <v>49</v>
      </c>
      <c r="E18" s="6" t="s">
        <v>11</v>
      </c>
      <c r="F18" s="7" t="n">
        <v>1</v>
      </c>
      <c r="G18" s="4" t="s">
        <v>50</v>
      </c>
    </row>
    <row r="19" customFormat="false" ht="33.75" hidden="false" customHeight="true" outlineLevel="0" collapsed="false">
      <c r="A19" s="3" t="s">
        <v>47</v>
      </c>
      <c r="B19" s="5" t="s">
        <v>51</v>
      </c>
      <c r="C19" s="5" t="s">
        <v>28</v>
      </c>
      <c r="D19" s="5" t="s">
        <v>52</v>
      </c>
      <c r="E19" s="6" t="s">
        <v>11</v>
      </c>
      <c r="F19" s="7" t="n">
        <v>1</v>
      </c>
      <c r="G19" s="4" t="s">
        <v>53</v>
      </c>
    </row>
    <row r="20" customFormat="false" ht="33.75" hidden="false" customHeight="true" outlineLevel="0" collapsed="false">
      <c r="A20" s="3" t="s">
        <v>47</v>
      </c>
      <c r="B20" s="5" t="s">
        <v>51</v>
      </c>
      <c r="C20" s="5" t="s">
        <v>38</v>
      </c>
      <c r="D20" s="5" t="s">
        <v>54</v>
      </c>
      <c r="E20" s="6" t="s">
        <v>11</v>
      </c>
      <c r="F20" s="7" t="n">
        <v>1</v>
      </c>
      <c r="G20" s="4" t="s">
        <v>53</v>
      </c>
    </row>
    <row r="21" customFormat="false" ht="33.75" hidden="false" customHeight="true" outlineLevel="0" collapsed="false">
      <c r="A21" s="3" t="s">
        <v>55</v>
      </c>
      <c r="B21" s="4" t="s">
        <v>56</v>
      </c>
      <c r="C21" s="4" t="s">
        <v>9</v>
      </c>
      <c r="D21" s="5" t="s">
        <v>57</v>
      </c>
      <c r="E21" s="6" t="s">
        <v>11</v>
      </c>
      <c r="F21" s="7" t="n">
        <v>1</v>
      </c>
      <c r="G21" s="4"/>
    </row>
    <row r="22" customFormat="false" ht="33.75" hidden="false" customHeight="true" outlineLevel="0" collapsed="false">
      <c r="A22" s="3" t="s">
        <v>55</v>
      </c>
      <c r="B22" s="5" t="s">
        <v>58</v>
      </c>
      <c r="C22" s="5" t="s">
        <v>28</v>
      </c>
      <c r="D22" s="5" t="s">
        <v>59</v>
      </c>
      <c r="E22" s="6" t="s">
        <v>11</v>
      </c>
      <c r="F22" s="7" t="n">
        <v>1</v>
      </c>
      <c r="G22" s="4" t="s">
        <v>60</v>
      </c>
    </row>
    <row r="23" customFormat="false" ht="33.75" hidden="false" customHeight="true" outlineLevel="0" collapsed="false">
      <c r="A23" s="3" t="s">
        <v>55</v>
      </c>
      <c r="B23" s="5" t="s">
        <v>58</v>
      </c>
      <c r="C23" s="5" t="s">
        <v>38</v>
      </c>
      <c r="D23" s="5" t="s">
        <v>61</v>
      </c>
      <c r="E23" s="6" t="s">
        <v>11</v>
      </c>
      <c r="F23" s="7" t="n">
        <v>1</v>
      </c>
      <c r="G23" s="4" t="s">
        <v>60</v>
      </c>
    </row>
    <row r="24" customFormat="false" ht="33.75" hidden="false" customHeight="true" outlineLevel="0" collapsed="false">
      <c r="A24" s="3" t="s">
        <v>62</v>
      </c>
      <c r="B24" s="4" t="s">
        <v>56</v>
      </c>
      <c r="C24" s="4" t="s">
        <v>9</v>
      </c>
      <c r="D24" s="5" t="s">
        <v>63</v>
      </c>
      <c r="E24" s="6" t="s">
        <v>11</v>
      </c>
      <c r="F24" s="7" t="n">
        <v>1</v>
      </c>
      <c r="G24" s="4"/>
    </row>
    <row r="25" customFormat="false" ht="33.75" hidden="false" customHeight="true" outlineLevel="0" collapsed="false">
      <c r="A25" s="3" t="s">
        <v>62</v>
      </c>
      <c r="B25" s="5" t="s">
        <v>58</v>
      </c>
      <c r="C25" s="5" t="s">
        <v>28</v>
      </c>
      <c r="D25" s="5" t="s">
        <v>64</v>
      </c>
      <c r="E25" s="6" t="s">
        <v>11</v>
      </c>
      <c r="F25" s="7" t="n">
        <v>1</v>
      </c>
      <c r="G25" s="4" t="s">
        <v>60</v>
      </c>
    </row>
    <row r="26" customFormat="false" ht="33.75" hidden="false" customHeight="true" outlineLevel="0" collapsed="false">
      <c r="A26" s="3" t="s">
        <v>62</v>
      </c>
      <c r="B26" s="5" t="s">
        <v>58</v>
      </c>
      <c r="C26" s="5" t="s">
        <v>38</v>
      </c>
      <c r="D26" s="5" t="s">
        <v>65</v>
      </c>
      <c r="E26" s="6" t="s">
        <v>11</v>
      </c>
      <c r="F26" s="7" t="n">
        <v>1</v>
      </c>
      <c r="G26" s="4" t="s">
        <v>60</v>
      </c>
    </row>
    <row r="27" customFormat="false" ht="33.75" hidden="false" customHeight="true" outlineLevel="0" collapsed="false">
      <c r="A27" s="3" t="s">
        <v>66</v>
      </c>
      <c r="B27" s="4" t="s">
        <v>67</v>
      </c>
      <c r="C27" s="4" t="s">
        <v>9</v>
      </c>
      <c r="D27" s="5" t="s">
        <v>68</v>
      </c>
      <c r="E27" s="6" t="s">
        <v>11</v>
      </c>
      <c r="F27" s="7" t="n">
        <v>1</v>
      </c>
      <c r="G27" s="4" t="s">
        <v>69</v>
      </c>
    </row>
    <row r="28" customFormat="false" ht="33.75" hidden="false" customHeight="true" outlineLevel="0" collapsed="false">
      <c r="A28" s="3" t="s">
        <v>66</v>
      </c>
      <c r="B28" s="5" t="s">
        <v>70</v>
      </c>
      <c r="C28" s="5" t="s">
        <v>28</v>
      </c>
      <c r="D28" s="5" t="s">
        <v>71</v>
      </c>
      <c r="E28" s="6" t="s">
        <v>11</v>
      </c>
      <c r="F28" s="7" t="n">
        <v>1</v>
      </c>
      <c r="G28" s="4"/>
    </row>
    <row r="29" customFormat="false" ht="33.75" hidden="false" customHeight="true" outlineLevel="0" collapsed="false">
      <c r="A29" s="3" t="s">
        <v>66</v>
      </c>
      <c r="B29" s="4" t="s">
        <v>72</v>
      </c>
      <c r="C29" s="5" t="s">
        <v>28</v>
      </c>
      <c r="D29" s="5" t="s">
        <v>73</v>
      </c>
      <c r="E29" s="8" t="s">
        <v>34</v>
      </c>
      <c r="F29" s="7" t="n">
        <v>0</v>
      </c>
      <c r="G29" s="4" t="s">
        <v>74</v>
      </c>
    </row>
    <row r="30" customFormat="false" ht="33.75" hidden="false" customHeight="true" outlineLevel="0" collapsed="false">
      <c r="A30" s="3" t="s">
        <v>66</v>
      </c>
      <c r="B30" s="5" t="s">
        <v>27</v>
      </c>
      <c r="C30" s="5" t="s">
        <v>38</v>
      </c>
      <c r="D30" s="5" t="s">
        <v>75</v>
      </c>
      <c r="E30" s="6" t="s">
        <v>11</v>
      </c>
      <c r="F30" s="7" t="n">
        <v>1</v>
      </c>
      <c r="G30" s="4"/>
    </row>
    <row r="31" customFormat="false" ht="33.75" hidden="false" customHeight="true" outlineLevel="0" collapsed="false">
      <c r="A31" s="3" t="s">
        <v>66</v>
      </c>
      <c r="B31" s="4" t="s">
        <v>76</v>
      </c>
      <c r="C31" s="5" t="s">
        <v>38</v>
      </c>
      <c r="D31" s="5" t="s">
        <v>77</v>
      </c>
      <c r="E31" s="8" t="s">
        <v>34</v>
      </c>
      <c r="F31" s="7" t="n">
        <v>0</v>
      </c>
      <c r="G31" s="4" t="s">
        <v>35</v>
      </c>
    </row>
    <row r="32" customFormat="false" ht="33.75" hidden="false" customHeight="true" outlineLevel="0" collapsed="false">
      <c r="A32" s="3" t="s">
        <v>78</v>
      </c>
      <c r="B32" s="4" t="s">
        <v>79</v>
      </c>
      <c r="C32" s="4" t="s">
        <v>9</v>
      </c>
      <c r="D32" s="5" t="s">
        <v>80</v>
      </c>
      <c r="E32" s="6" t="s">
        <v>11</v>
      </c>
      <c r="F32" s="7" t="n">
        <v>1</v>
      </c>
      <c r="G32" s="4"/>
    </row>
    <row r="33" customFormat="false" ht="33.75" hidden="false" customHeight="true" outlineLevel="0" collapsed="false">
      <c r="A33" s="3" t="s">
        <v>78</v>
      </c>
      <c r="B33" s="4" t="s">
        <v>81</v>
      </c>
      <c r="C33" s="5" t="s">
        <v>28</v>
      </c>
      <c r="D33" s="5" t="s">
        <v>82</v>
      </c>
      <c r="E33" s="10" t="s">
        <v>83</v>
      </c>
      <c r="F33" s="7" t="n">
        <v>0.5</v>
      </c>
      <c r="G33" s="4" t="s">
        <v>84</v>
      </c>
    </row>
    <row r="34" customFormat="false" ht="33.75" hidden="false" customHeight="true" outlineLevel="0" collapsed="false">
      <c r="A34" s="3" t="s">
        <v>78</v>
      </c>
      <c r="B34" s="4" t="s">
        <v>81</v>
      </c>
      <c r="C34" s="5" t="s">
        <v>38</v>
      </c>
      <c r="D34" s="5" t="s">
        <v>85</v>
      </c>
      <c r="E34" s="10" t="s">
        <v>83</v>
      </c>
      <c r="F34" s="7" t="n">
        <v>0.5</v>
      </c>
      <c r="G34" s="4" t="s">
        <v>86</v>
      </c>
    </row>
    <row r="35" customFormat="false" ht="33.75" hidden="false" customHeight="true" outlineLevel="0" collapsed="false">
      <c r="A35" s="3" t="s">
        <v>78</v>
      </c>
      <c r="B35" s="4" t="s">
        <v>87</v>
      </c>
      <c r="C35" s="4" t="s">
        <v>88</v>
      </c>
      <c r="D35" s="5" t="s">
        <v>89</v>
      </c>
      <c r="E35" s="6" t="s">
        <v>11</v>
      </c>
      <c r="F35" s="7" t="n">
        <v>1</v>
      </c>
      <c r="G35" s="4"/>
    </row>
    <row r="36" customFormat="false" ht="33.75" hidden="false" customHeight="true" outlineLevel="0" collapsed="false">
      <c r="A36" s="3" t="s">
        <v>90</v>
      </c>
      <c r="B36" s="4" t="s">
        <v>91</v>
      </c>
      <c r="C36" s="4" t="s">
        <v>9</v>
      </c>
      <c r="D36" s="5" t="s">
        <v>92</v>
      </c>
      <c r="E36" s="9" t="s">
        <v>93</v>
      </c>
      <c r="F36" s="7" t="n">
        <v>0.5</v>
      </c>
      <c r="G36" s="4" t="s">
        <v>94</v>
      </c>
    </row>
    <row r="37" customFormat="false" ht="33.75" hidden="false" customHeight="true" outlineLevel="0" collapsed="false">
      <c r="A37" s="3" t="s">
        <v>90</v>
      </c>
      <c r="B37" s="4" t="s">
        <v>95</v>
      </c>
      <c r="C37" s="4" t="s">
        <v>88</v>
      </c>
      <c r="D37" s="5" t="s">
        <v>96</v>
      </c>
      <c r="E37" s="9" t="s">
        <v>97</v>
      </c>
      <c r="F37" s="7" t="n">
        <v>0.5</v>
      </c>
      <c r="G37" s="5" t="s">
        <v>98</v>
      </c>
    </row>
    <row r="38" customFormat="false" ht="33.75" hidden="false" customHeight="true" outlineLevel="0" collapsed="false">
      <c r="A38" s="3" t="s">
        <v>90</v>
      </c>
      <c r="B38" s="4" t="s">
        <v>99</v>
      </c>
      <c r="C38" s="4" t="s">
        <v>88</v>
      </c>
      <c r="D38" s="5" t="s">
        <v>100</v>
      </c>
      <c r="E38" s="6" t="s">
        <v>11</v>
      </c>
      <c r="F38" s="7" t="n">
        <v>1</v>
      </c>
      <c r="G38" s="4"/>
    </row>
    <row r="39" customFormat="false" ht="33.75" hidden="false" customHeight="true" outlineLevel="0" collapsed="false">
      <c r="A39" s="3" t="s">
        <v>90</v>
      </c>
      <c r="B39" s="5" t="s">
        <v>101</v>
      </c>
      <c r="C39" s="4" t="s">
        <v>88</v>
      </c>
      <c r="D39" s="5" t="s">
        <v>102</v>
      </c>
      <c r="E39" s="11" t="s">
        <v>103</v>
      </c>
      <c r="F39" s="7"/>
      <c r="G39" s="4" t="s">
        <v>104</v>
      </c>
    </row>
    <row r="40" customFormat="false" ht="33.75" hidden="false" customHeight="true" outlineLevel="0" collapsed="false">
      <c r="A40" s="3" t="s">
        <v>105</v>
      </c>
      <c r="B40" s="4" t="s">
        <v>106</v>
      </c>
      <c r="C40" s="4" t="s">
        <v>9</v>
      </c>
      <c r="D40" s="5" t="s">
        <v>107</v>
      </c>
      <c r="E40" s="9" t="s">
        <v>108</v>
      </c>
      <c r="F40" s="7" t="n">
        <v>0.5</v>
      </c>
      <c r="G40" s="5" t="s">
        <v>109</v>
      </c>
    </row>
    <row r="41" customFormat="false" ht="33.75" hidden="false" customHeight="true" outlineLevel="0" collapsed="false">
      <c r="A41" s="3" t="s">
        <v>105</v>
      </c>
      <c r="B41" s="4" t="s">
        <v>110</v>
      </c>
      <c r="C41" s="4" t="s">
        <v>88</v>
      </c>
      <c r="D41" s="5" t="s">
        <v>111</v>
      </c>
      <c r="E41" s="10" t="s">
        <v>112</v>
      </c>
      <c r="F41" s="7" t="n">
        <v>0.5</v>
      </c>
      <c r="G41" s="5" t="s">
        <v>113</v>
      </c>
    </row>
    <row r="42" customFormat="false" ht="33.75" hidden="false" customHeight="true" outlineLevel="0" collapsed="false">
      <c r="A42" s="3" t="s">
        <v>105</v>
      </c>
      <c r="B42" s="5" t="s">
        <v>114</v>
      </c>
      <c r="C42" s="4" t="s">
        <v>88</v>
      </c>
      <c r="D42" s="5" t="s">
        <v>115</v>
      </c>
      <c r="E42" s="11" t="s">
        <v>103</v>
      </c>
      <c r="F42" s="7"/>
      <c r="G42" s="4" t="s">
        <v>116</v>
      </c>
    </row>
    <row r="43" customFormat="false" ht="33.75" hidden="false" customHeight="true" outlineLevel="0" collapsed="false">
      <c r="A43" s="3" t="s">
        <v>117</v>
      </c>
      <c r="B43" s="4" t="s">
        <v>118</v>
      </c>
      <c r="C43" s="4" t="s">
        <v>88</v>
      </c>
      <c r="D43" s="5" t="s">
        <v>119</v>
      </c>
      <c r="E43" s="6" t="s">
        <v>11</v>
      </c>
      <c r="F43" s="7" t="n">
        <v>1</v>
      </c>
      <c r="G43" s="4"/>
    </row>
    <row r="44" customFormat="false" ht="33.75" hidden="false" customHeight="true" outlineLevel="0" collapsed="false">
      <c r="A44" s="3" t="s">
        <v>117</v>
      </c>
      <c r="B44" s="4" t="s">
        <v>120</v>
      </c>
      <c r="C44" s="4" t="s">
        <v>9</v>
      </c>
      <c r="D44" s="5" t="s">
        <v>121</v>
      </c>
      <c r="E44" s="6" t="s">
        <v>11</v>
      </c>
      <c r="F44" s="7" t="n">
        <v>1</v>
      </c>
      <c r="G44" s="4" t="s">
        <v>122</v>
      </c>
    </row>
    <row r="45" customFormat="false" ht="33.75" hidden="false" customHeight="true" outlineLevel="0" collapsed="false">
      <c r="A45" s="3" t="s">
        <v>117</v>
      </c>
      <c r="B45" s="5" t="s">
        <v>123</v>
      </c>
      <c r="C45" s="4" t="s">
        <v>9</v>
      </c>
      <c r="D45" s="5" t="s">
        <v>124</v>
      </c>
      <c r="E45" s="9" t="s">
        <v>125</v>
      </c>
      <c r="F45" s="7" t="n">
        <v>0.5</v>
      </c>
      <c r="G45" s="4" t="s">
        <v>126</v>
      </c>
    </row>
    <row r="46" customFormat="false" ht="33.75" hidden="false" customHeight="true" outlineLevel="0" collapsed="false">
      <c r="A46" s="3" t="s">
        <v>117</v>
      </c>
      <c r="B46" s="4" t="s">
        <v>127</v>
      </c>
      <c r="C46" s="4" t="s">
        <v>88</v>
      </c>
      <c r="D46" s="5" t="s">
        <v>128</v>
      </c>
      <c r="E46" s="6" t="s">
        <v>11</v>
      </c>
      <c r="F46" s="7" t="n">
        <v>1</v>
      </c>
      <c r="G46" s="4"/>
    </row>
    <row r="47" customFormat="false" ht="33.75" hidden="false" customHeight="true" outlineLevel="0" collapsed="false">
      <c r="A47" s="3" t="s">
        <v>129</v>
      </c>
      <c r="B47" s="4" t="s">
        <v>130</v>
      </c>
      <c r="C47" s="4" t="s">
        <v>88</v>
      </c>
      <c r="D47" s="5" t="s">
        <v>131</v>
      </c>
      <c r="E47" s="6" t="s">
        <v>11</v>
      </c>
      <c r="F47" s="7" t="n">
        <v>1</v>
      </c>
      <c r="G47" s="4" t="s">
        <v>132</v>
      </c>
    </row>
    <row r="48" customFormat="false" ht="33.75" hidden="false" customHeight="true" outlineLevel="0" collapsed="false">
      <c r="A48" s="3" t="s">
        <v>129</v>
      </c>
      <c r="B48" s="5" t="s">
        <v>133</v>
      </c>
      <c r="C48" s="4" t="s">
        <v>88</v>
      </c>
      <c r="D48" s="5" t="s">
        <v>134</v>
      </c>
      <c r="E48" s="6" t="s">
        <v>11</v>
      </c>
      <c r="F48" s="7" t="n">
        <v>1</v>
      </c>
      <c r="G48" s="4" t="s">
        <v>135</v>
      </c>
    </row>
    <row r="49" customFormat="false" ht="33.75" hidden="false" customHeight="true" outlineLevel="0" collapsed="false">
      <c r="A49" s="3" t="s">
        <v>129</v>
      </c>
      <c r="B49" s="4" t="s">
        <v>136</v>
      </c>
      <c r="C49" s="4" t="s">
        <v>88</v>
      </c>
      <c r="D49" s="5" t="s">
        <v>137</v>
      </c>
      <c r="E49" s="6" t="s">
        <v>11</v>
      </c>
      <c r="F49" s="7" t="n">
        <v>1</v>
      </c>
      <c r="G49" s="4" t="s">
        <v>138</v>
      </c>
    </row>
    <row r="50" customFormat="false" ht="33.75" hidden="false" customHeight="true" outlineLevel="0" collapsed="false">
      <c r="A50" s="3" t="s">
        <v>129</v>
      </c>
      <c r="B50" s="4" t="s">
        <v>139</v>
      </c>
      <c r="C50" s="4" t="s">
        <v>88</v>
      </c>
      <c r="D50" s="5" t="s">
        <v>140</v>
      </c>
      <c r="E50" s="9" t="s">
        <v>108</v>
      </c>
      <c r="F50" s="7" t="n">
        <v>0.5</v>
      </c>
      <c r="G50" s="4" t="s">
        <v>141</v>
      </c>
    </row>
    <row r="51" customFormat="false" ht="33.75" hidden="false" customHeight="true" outlineLevel="0" collapsed="false">
      <c r="A51" s="3" t="s">
        <v>142</v>
      </c>
      <c r="B51" s="5" t="s">
        <v>143</v>
      </c>
      <c r="C51" s="4" t="s">
        <v>9</v>
      </c>
      <c r="D51" s="5" t="s">
        <v>144</v>
      </c>
      <c r="E51" s="9" t="s">
        <v>145</v>
      </c>
      <c r="F51" s="7" t="n">
        <v>0.5</v>
      </c>
      <c r="G51" s="4" t="s">
        <v>146</v>
      </c>
    </row>
    <row r="52" customFormat="false" ht="33.75" hidden="false" customHeight="true" outlineLevel="0" collapsed="false">
      <c r="A52" s="3" t="s">
        <v>147</v>
      </c>
      <c r="B52" s="5" t="s">
        <v>148</v>
      </c>
      <c r="C52" s="4" t="s">
        <v>9</v>
      </c>
      <c r="D52" s="5" t="s">
        <v>149</v>
      </c>
      <c r="E52" s="6" t="s">
        <v>11</v>
      </c>
      <c r="F52" s="7" t="n">
        <v>1</v>
      </c>
      <c r="G52" s="4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6" min="5" style="0" width="40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</row>
    <row r="2" customFormat="false" ht="60" hidden="false" customHeight="true" outlineLevel="0" collapsed="false">
      <c r="A2" s="7" t="n">
        <v>1</v>
      </c>
      <c r="B2" s="12" t="s">
        <v>158</v>
      </c>
      <c r="C2" s="4" t="s">
        <v>159</v>
      </c>
      <c r="D2" s="5" t="s">
        <v>160</v>
      </c>
      <c r="E2" s="5" t="s">
        <v>161</v>
      </c>
      <c r="F2" s="4" t="s">
        <v>162</v>
      </c>
      <c r="G2" s="4" t="s">
        <v>163</v>
      </c>
    </row>
    <row r="3" customFormat="false" ht="60" hidden="false" customHeight="true" outlineLevel="0" collapsed="false">
      <c r="A3" s="7" t="n">
        <v>2</v>
      </c>
      <c r="B3" s="12" t="s">
        <v>164</v>
      </c>
      <c r="C3" s="4" t="s">
        <v>159</v>
      </c>
      <c r="D3" s="5" t="s">
        <v>165</v>
      </c>
      <c r="E3" s="5" t="s">
        <v>166</v>
      </c>
      <c r="F3" s="4" t="s">
        <v>167</v>
      </c>
      <c r="G3" s="4" t="s">
        <v>168</v>
      </c>
    </row>
    <row r="4" customFormat="false" ht="60" hidden="false" customHeight="true" outlineLevel="0" collapsed="false">
      <c r="A4" s="7" t="n">
        <v>3</v>
      </c>
      <c r="B4" s="12" t="s">
        <v>169</v>
      </c>
      <c r="C4" s="4" t="s">
        <v>170</v>
      </c>
      <c r="D4" s="5" t="s">
        <v>171</v>
      </c>
      <c r="E4" s="5" t="s">
        <v>172</v>
      </c>
      <c r="F4" s="4" t="s">
        <v>173</v>
      </c>
      <c r="G4" s="5" t="s">
        <v>174</v>
      </c>
    </row>
    <row r="5" customFormat="false" ht="60" hidden="false" customHeight="true" outlineLevel="0" collapsed="false">
      <c r="A5" s="7" t="n">
        <v>4</v>
      </c>
      <c r="B5" s="13" t="s">
        <v>175</v>
      </c>
      <c r="C5" s="5" t="s">
        <v>28</v>
      </c>
      <c r="D5" s="5" t="s">
        <v>176</v>
      </c>
      <c r="E5" s="4" t="s">
        <v>177</v>
      </c>
      <c r="F5" s="4" t="s">
        <v>178</v>
      </c>
      <c r="G5" s="4" t="s">
        <v>168</v>
      </c>
    </row>
    <row r="6" customFormat="false" ht="60" hidden="false" customHeight="true" outlineLevel="0" collapsed="false">
      <c r="A6" s="7" t="n">
        <v>5</v>
      </c>
      <c r="B6" s="13" t="s">
        <v>179</v>
      </c>
      <c r="C6" s="5" t="s">
        <v>38</v>
      </c>
      <c r="D6" s="5" t="s">
        <v>180</v>
      </c>
      <c r="E6" s="5" t="s">
        <v>181</v>
      </c>
      <c r="F6" s="4" t="s">
        <v>182</v>
      </c>
      <c r="G6" s="4" t="s">
        <v>183</v>
      </c>
    </row>
    <row r="7" customFormat="false" ht="60" hidden="false" customHeight="true" outlineLevel="0" collapsed="false">
      <c r="A7" s="7" t="n">
        <v>6</v>
      </c>
      <c r="B7" s="12" t="s">
        <v>184</v>
      </c>
      <c r="C7" s="4" t="s">
        <v>185</v>
      </c>
      <c r="D7" s="4" t="s">
        <v>186</v>
      </c>
      <c r="E7" s="4" t="s">
        <v>187</v>
      </c>
      <c r="F7" s="4" t="s">
        <v>188</v>
      </c>
      <c r="G7" s="4" t="s">
        <v>189</v>
      </c>
    </row>
    <row r="8" customFormat="false" ht="60" hidden="false" customHeight="true" outlineLevel="0" collapsed="false">
      <c r="A8" s="7" t="n">
        <v>7</v>
      </c>
      <c r="B8" s="13" t="s">
        <v>190</v>
      </c>
      <c r="C8" s="4" t="s">
        <v>88</v>
      </c>
      <c r="D8" s="5" t="s">
        <v>191</v>
      </c>
      <c r="E8" s="5" t="s">
        <v>192</v>
      </c>
      <c r="F8" s="4" t="s">
        <v>193</v>
      </c>
      <c r="G8" s="5" t="s">
        <v>194</v>
      </c>
    </row>
    <row r="9" customFormat="false" ht="60" hidden="false" customHeight="true" outlineLevel="0" collapsed="false">
      <c r="A9" s="7" t="n">
        <v>8</v>
      </c>
      <c r="B9" s="13" t="s">
        <v>195</v>
      </c>
      <c r="C9" s="4" t="s">
        <v>196</v>
      </c>
      <c r="D9" s="5" t="s">
        <v>197</v>
      </c>
      <c r="E9" s="4" t="s">
        <v>198</v>
      </c>
      <c r="F9" s="4" t="s">
        <v>199</v>
      </c>
      <c r="G9" s="4" t="s">
        <v>200</v>
      </c>
    </row>
    <row r="10" customFormat="false" ht="60" hidden="false" customHeight="true" outlineLevel="0" collapsed="false">
      <c r="A10" s="7" t="s">
        <v>181</v>
      </c>
      <c r="B10" s="14" t="s">
        <v>201</v>
      </c>
      <c r="C10" s="4" t="s">
        <v>88</v>
      </c>
      <c r="D10" s="4" t="s">
        <v>202</v>
      </c>
      <c r="E10" s="5" t="s">
        <v>181</v>
      </c>
      <c r="F10" s="4" t="s">
        <v>203</v>
      </c>
      <c r="G10" s="5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204</v>
      </c>
      <c r="C1" s="1" t="s">
        <v>205</v>
      </c>
      <c r="D1" s="1" t="s">
        <v>206</v>
      </c>
    </row>
    <row r="2" customFormat="false" ht="15" hidden="false" customHeight="false" outlineLevel="0" collapsed="false">
      <c r="A2" s="15" t="s">
        <v>207</v>
      </c>
      <c r="B2" s="16" t="n">
        <f aca="false">COUNTIFS(新内核总表!$A$2:$A$200,A2,新内核总表!$F$2:$F$200,"&lt;&gt;")</f>
        <v>6</v>
      </c>
      <c r="C2" s="16" t="n">
        <f aca="false">SUMIFS(新内核总表!$F$2:$F$200,新内核总表!$A$2:$A$200,A2)</f>
        <v>6</v>
      </c>
      <c r="D2" s="17" t="n">
        <f aca="false">IF(B2=0,0,C2/B2)</f>
        <v>1</v>
      </c>
    </row>
    <row r="3" customFormat="false" ht="15" hidden="false" customHeight="false" outlineLevel="0" collapsed="false">
      <c r="A3" s="15" t="s">
        <v>208</v>
      </c>
      <c r="B3" s="16" t="n">
        <f aca="false">COUNTIFS(新内核总表!$A$2:$A$200,A3,新内核总表!$F$2:$F$200,"&lt;&gt;")</f>
        <v>10</v>
      </c>
      <c r="C3" s="16" t="n">
        <f aca="false">SUMIFS(新内核总表!$F$2:$F$200,新内核总表!$A$2:$A$200,A3)</f>
        <v>5.5</v>
      </c>
      <c r="D3" s="17" t="n">
        <f aca="false">IF(B3=0,0,C3/B3)</f>
        <v>0.55</v>
      </c>
    </row>
    <row r="4" customFormat="false" ht="15" hidden="false" customHeight="false" outlineLevel="0" collapsed="false">
      <c r="A4" s="15" t="s">
        <v>209</v>
      </c>
      <c r="B4" s="16" t="n">
        <f aca="false">COUNTIFS(新内核总表!$A$2:$A$200,A4,新内核总表!$F$2:$F$200,"&lt;&gt;")</f>
        <v>3</v>
      </c>
      <c r="C4" s="16" t="n">
        <f aca="false">SUMIFS(新内核总表!$F$2:$F$200,新内核总表!$A$2:$A$200,A4)</f>
        <v>3</v>
      </c>
      <c r="D4" s="17" t="n">
        <f aca="false">IF(B4=0,0,C4/B4)</f>
        <v>1</v>
      </c>
    </row>
    <row r="5" customFormat="false" ht="15" hidden="false" customHeight="false" outlineLevel="0" collapsed="false">
      <c r="A5" s="15" t="s">
        <v>210</v>
      </c>
      <c r="B5" s="16" t="n">
        <f aca="false">COUNTIFS(新内核总表!$A$2:$A$200,A5,新内核总表!$F$2:$F$200,"&lt;&gt;")</f>
        <v>3</v>
      </c>
      <c r="C5" s="16" t="n">
        <f aca="false">SUMIFS(新内核总表!$F$2:$F$200,新内核总表!$A$2:$A$200,A5)</f>
        <v>3</v>
      </c>
      <c r="D5" s="17" t="n">
        <f aca="false">IF(B5=0,0,C5/B5)</f>
        <v>1</v>
      </c>
    </row>
    <row r="6" customFormat="false" ht="15" hidden="false" customHeight="false" outlineLevel="0" collapsed="false">
      <c r="A6" s="15" t="s">
        <v>211</v>
      </c>
      <c r="B6" s="16" t="n">
        <f aca="false">COUNTIFS(新内核总表!$A$2:$A$200,A6,新内核总表!$F$2:$F$200,"&lt;&gt;")</f>
        <v>3</v>
      </c>
      <c r="C6" s="16" t="n">
        <f aca="false">SUMIFS(新内核总表!$F$2:$F$200,新内核总表!$A$2:$A$200,A6)</f>
        <v>3</v>
      </c>
      <c r="D6" s="17" t="n">
        <f aca="false">IF(B6=0,0,C6/B6)</f>
        <v>1</v>
      </c>
    </row>
    <row r="7" customFormat="false" ht="15" hidden="false" customHeight="false" outlineLevel="0" collapsed="false">
      <c r="A7" s="15" t="s">
        <v>212</v>
      </c>
      <c r="B7" s="16" t="n">
        <f aca="false">COUNTIFS(新内核总表!$A$2:$A$200,A7,新内核总表!$F$2:$F$200,"&lt;&gt;")</f>
        <v>5</v>
      </c>
      <c r="C7" s="16" t="n">
        <f aca="false">SUMIFS(新内核总表!$F$2:$F$200,新内核总表!$A$2:$A$200,A7)</f>
        <v>3</v>
      </c>
      <c r="D7" s="17" t="n">
        <f aca="false">IF(B7=0,0,C7/B7)</f>
        <v>0.6</v>
      </c>
    </row>
    <row r="8" customFormat="false" ht="15" hidden="false" customHeight="false" outlineLevel="0" collapsed="false">
      <c r="A8" s="15" t="s">
        <v>78</v>
      </c>
      <c r="B8" s="16" t="n">
        <f aca="false">COUNTIFS(新内核总表!$A$2:$A$200,A8,新内核总表!$F$2:$F$200,"&lt;&gt;")</f>
        <v>4</v>
      </c>
      <c r="C8" s="16" t="n">
        <f aca="false">SUMIFS(新内核总表!$F$2:$F$200,新内核总表!$A$2:$A$200,A8)</f>
        <v>3</v>
      </c>
      <c r="D8" s="17" t="n">
        <f aca="false">IF(B8=0,0,C8/B8)</f>
        <v>0.75</v>
      </c>
    </row>
    <row r="9" customFormat="false" ht="15" hidden="false" customHeight="false" outlineLevel="0" collapsed="false">
      <c r="A9" s="15" t="s">
        <v>90</v>
      </c>
      <c r="B9" s="16" t="n">
        <f aca="false">COUNTIFS(新内核总表!$A$2:$A$200,A9,新内核总表!$F$2:$F$200,"&lt;&gt;")</f>
        <v>3</v>
      </c>
      <c r="C9" s="16" t="n">
        <f aca="false">SUMIFS(新内核总表!$F$2:$F$200,新内核总表!$A$2:$A$200,A9)</f>
        <v>2</v>
      </c>
      <c r="D9" s="17" t="n">
        <f aca="false">IF(B9=0,0,C9/B9)</f>
        <v>0.666666666666667</v>
      </c>
    </row>
    <row r="10" customFormat="false" ht="15" hidden="false" customHeight="false" outlineLevel="0" collapsed="false">
      <c r="A10" s="15" t="s">
        <v>213</v>
      </c>
      <c r="B10" s="16" t="n">
        <f aca="false">COUNTIFS(新内核总表!$A$2:$A$200,A10,新内核总表!$F$2:$F$200,"&lt;&gt;")</f>
        <v>2</v>
      </c>
      <c r="C10" s="16" t="n">
        <f aca="false">SUMIFS(新内核总表!$F$2:$F$200,新内核总表!$A$2:$A$200,A10)</f>
        <v>1</v>
      </c>
      <c r="D10" s="17" t="n">
        <f aca="false">IF(B10=0,0,C10/B10)</f>
        <v>0.5</v>
      </c>
    </row>
    <row r="11" customFormat="false" ht="15" hidden="false" customHeight="false" outlineLevel="0" collapsed="false">
      <c r="A11" s="15" t="s">
        <v>214</v>
      </c>
      <c r="B11" s="16" t="n">
        <f aca="false">COUNTIFS(新内核总表!$A$2:$A$200,A11,新内核总表!$F$2:$F$200,"&lt;&gt;")</f>
        <v>4</v>
      </c>
      <c r="C11" s="16" t="n">
        <f aca="false">SUMIFS(新内核总表!$F$2:$F$200,新内核总表!$A$2:$A$200,A11)</f>
        <v>3.5</v>
      </c>
      <c r="D11" s="17" t="n">
        <f aca="false">IF(B11=0,0,C11/B11)</f>
        <v>0.875</v>
      </c>
    </row>
    <row r="12" customFormat="false" ht="15" hidden="false" customHeight="false" outlineLevel="0" collapsed="false">
      <c r="A12" s="15" t="s">
        <v>215</v>
      </c>
      <c r="B12" s="16" t="n">
        <f aca="false">COUNTIFS(新内核总表!$A$2:$A$200,A12,新内核总表!$F$2:$F$200,"&lt;&gt;")</f>
        <v>4</v>
      </c>
      <c r="C12" s="16" t="n">
        <f aca="false">SUMIFS(新内核总表!$F$2:$F$200,新内核总表!$A$2:$A$200,A12)</f>
        <v>3.5</v>
      </c>
      <c r="D12" s="17" t="n">
        <f aca="false">IF(B12=0,0,C12/B12)</f>
        <v>0.875</v>
      </c>
    </row>
    <row r="13" customFormat="false" ht="15" hidden="false" customHeight="false" outlineLevel="0" collapsed="false">
      <c r="A13" s="15" t="s">
        <v>216</v>
      </c>
      <c r="B13" s="16" t="n">
        <f aca="false">COUNTIFS(新内核总表!$A$2:$A$200,A13,新内核总表!$F$2:$F$200,"&lt;&gt;")</f>
        <v>1</v>
      </c>
      <c r="C13" s="16" t="n">
        <f aca="false">SUMIFS(新内核总表!$F$2:$F$200,新内核总表!$A$2:$A$200,A13)</f>
        <v>0.5</v>
      </c>
      <c r="D13" s="17" t="n">
        <f aca="false">IF(B13=0,0,C13/B13)</f>
        <v>0.5</v>
      </c>
    </row>
    <row r="14" customFormat="false" ht="15" hidden="false" customHeight="false" outlineLevel="0" collapsed="false">
      <c r="A14" s="15" t="s">
        <v>147</v>
      </c>
      <c r="B14" s="16" t="n">
        <f aca="false">COUNTIFS(新内核总表!$A$2:$A$200,A14,新内核总表!$F$2:$F$200,"&lt;&gt;")</f>
        <v>1</v>
      </c>
      <c r="C14" s="16" t="n">
        <f aca="false">SUMIFS(新内核总表!$F$2:$F$200,新内核总表!$A$2:$A$200,A14)</f>
        <v>1</v>
      </c>
      <c r="D14" s="17" t="n">
        <f aca="false">IF(B14=0,0,C14/B14)</f>
        <v>1</v>
      </c>
    </row>
    <row r="15" customFormat="false" ht="15" hidden="false" customHeight="false" outlineLevel="0" collapsed="false">
      <c r="A15" s="18" t="s">
        <v>217</v>
      </c>
      <c r="B15" s="19" t="n">
        <f aca="false">COUNTIFS(新内核总表!$F$2:$F$200,"&lt;&gt;")</f>
        <v>49</v>
      </c>
      <c r="C15" s="19" t="n">
        <f aca="false">SUM(新内核总表!$F$2:$F$200)</f>
        <v>38</v>
      </c>
      <c r="D15" s="20" t="n">
        <f aca="false">IF(B15=0,0,C15/B15)</f>
        <v>0.775510204081633</v>
      </c>
    </row>
    <row r="17" customFormat="false" ht="15" hidden="false" customHeight="false" outlineLevel="0" collapsed="false">
      <c r="A17" s="21" t="s">
        <v>218</v>
      </c>
    </row>
    <row r="18" customFormat="false" ht="15" hidden="false" customHeight="false" outlineLevel="0" collapsed="false">
      <c r="A18" s="21" t="s">
        <v>219</v>
      </c>
    </row>
    <row r="19" customFormat="false" ht="15" hidden="false" customHeight="false" outlineLevel="0" collapsed="false">
      <c r="A19" s="21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2026-06-12T00:39:29Z</dcterms:created>
  <dc:creator>openpyxl</dc:creator>
  <dc:description/>
  <dc:language>en-US</dc:language>
  <cp:lastModifiedBy/>
  <dcterms:modified xsi:type="dcterms:W3CDTF">2026-06-12T00:39:29Z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