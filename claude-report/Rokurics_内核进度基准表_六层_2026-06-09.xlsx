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DomainMatrix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<sst xmlns="http://schemas.openxmlformats.org/spreadsheetml/2006/main" count="548" uniqueCount="279">
  <si>
    <t xml:space="preserve">层</t>
  </si>
  <si>
    <t xml:space="preserve">组件</t>
  </si>
  <si>
    <t xml:space="preserve">端</t>
  </si>
  <si>
    <t xml:space="preserve">作用</t>
  </si>
  <si>
    <t xml:space="preserve">应有文件</t>
  </si>
  <si>
    <r>
      <rPr>
        <b val="true"/>
        <sz val="11"/>
        <color rgb="FFFFFFFF"/>
        <rFont val="Arial"/>
        <family val="0"/>
        <charset val="1"/>
      </rPr>
      <t xml:space="preserve">Codex </t>
    </r>
    <r>
      <rPr>
        <b val="true"/>
        <sz val="11"/>
        <color rgb="FFFFFFFF"/>
        <rFont val="DejaVu Sans"/>
        <family val="2"/>
      </rPr>
      <t xml:space="preserve">状态</t>
    </r>
  </si>
  <si>
    <t xml:space="preserve">完成度</t>
  </si>
  <si>
    <t xml:space="preserve">对你目标优先级</t>
  </si>
  <si>
    <r>
      <rPr>
        <b val="true"/>
        <sz val="11"/>
        <color rgb="FFFFFFFF"/>
        <rFont val="DejaVu Sans"/>
        <family val="2"/>
      </rPr>
      <t xml:space="preserve">备注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位置</t>
    </r>
  </si>
  <si>
    <t xml:space="preserve">同步</t>
  </si>
  <si>
    <r>
      <rPr>
        <sz val="10"/>
        <rFont val="DejaVu Sans"/>
        <family val="2"/>
      </rPr>
      <t xml:space="preserve">数据模型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对象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清单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哈希</t>
    </r>
    <r>
      <rPr>
        <sz val="10"/>
        <rFont val="Arial"/>
        <family val="0"/>
        <charset val="1"/>
      </rPr>
      <t xml:space="preserve">)</t>
    </r>
  </si>
  <si>
    <t xml:space="preserve">共享</t>
  </si>
  <si>
    <r>
      <rPr>
        <sz val="10"/>
        <rFont val="Arial"/>
        <family val="0"/>
        <charset val="1"/>
      </rPr>
      <t xml:space="preserve">canonical </t>
    </r>
    <r>
      <rPr>
        <sz val="10"/>
        <rFont val="DejaVu Sans"/>
        <family val="2"/>
      </rPr>
      <t xml:space="preserve">统一数据模型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两端同口径</t>
    </r>
  </si>
  <si>
    <t xml:space="preserve">CanonicalCore.swift</t>
  </si>
  <si>
    <t xml:space="preserve">✅ 已写</t>
  </si>
  <si>
    <t xml:space="preserve">高</t>
  </si>
  <si>
    <r>
      <rPr>
        <sz val="10"/>
        <rFont val="Arial"/>
        <family val="0"/>
        <charset val="1"/>
      </rPr>
      <t xml:space="preserve">1396</t>
    </r>
    <r>
      <rPr>
        <sz val="10"/>
        <rFont val="DejaVu Sans"/>
        <family val="2"/>
      </rPr>
      <t xml:space="preserve">行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核心</t>
    </r>
  </si>
  <si>
    <r>
      <rPr>
        <sz val="10"/>
        <rFont val="Arial"/>
        <family val="0"/>
        <charset val="1"/>
      </rPr>
      <t xml:space="preserve">diff/LWW </t>
    </r>
    <r>
      <rPr>
        <sz val="10"/>
        <rFont val="DejaVu Sans"/>
        <family val="2"/>
      </rPr>
      <t xml:space="preserve">规划</t>
    </r>
  </si>
  <si>
    <t xml:space="preserve">判定谁新谁旧、该传哪些</t>
  </si>
  <si>
    <t xml:space="preserve">CanonicalSyncPlanner.swift</t>
  </si>
  <si>
    <r>
      <rPr>
        <sz val="10"/>
        <rFont val="Arial"/>
        <family val="0"/>
        <charset val="1"/>
      </rPr>
      <t xml:space="preserve">894</t>
    </r>
    <r>
      <rPr>
        <sz val="10"/>
        <rFont val="DejaVu Sans"/>
        <family val="2"/>
      </rPr>
      <t xml:space="preserve">行</t>
    </r>
  </si>
  <si>
    <r>
      <rPr>
        <sz val="10"/>
        <rFont val="Arial"/>
        <family val="0"/>
        <charset val="1"/>
      </rPr>
      <t xml:space="preserve">apply </t>
    </r>
    <r>
      <rPr>
        <sz val="10"/>
        <rFont val="DejaVu Sans"/>
        <family val="2"/>
      </rPr>
      <t xml:space="preserve">计划</t>
    </r>
  </si>
  <si>
    <t xml:space="preserve">决定如何落地</t>
  </si>
  <si>
    <t xml:space="preserve">CanonicalApplyPlan.swift</t>
  </si>
  <si>
    <r>
      <rPr>
        <sz val="10"/>
        <rFont val="Arial"/>
        <family val="0"/>
        <charset val="1"/>
      </rPr>
      <t xml:space="preserve">891</t>
    </r>
    <r>
      <rPr>
        <sz val="10"/>
        <rFont val="DejaVu Sans"/>
        <family val="2"/>
      </rPr>
      <t xml:space="preserve">行</t>
    </r>
  </si>
  <si>
    <r>
      <rPr>
        <sz val="10"/>
        <rFont val="Arial"/>
        <family val="0"/>
        <charset val="1"/>
      </rPr>
      <t xml:space="preserve">apply </t>
    </r>
    <r>
      <rPr>
        <sz val="10"/>
        <rFont val="DejaVu Sans"/>
        <family val="2"/>
      </rPr>
      <t xml:space="preserve">运行时</t>
    </r>
  </si>
  <si>
    <r>
      <rPr>
        <sz val="10"/>
        <rFont val="Arial"/>
        <family val="0"/>
        <charset val="1"/>
      </rPr>
      <t xml:space="preserve">apply </t>
    </r>
    <r>
      <rPr>
        <sz val="10"/>
        <rFont val="DejaVu Sans"/>
        <family val="2"/>
      </rPr>
      <t xml:space="preserve">执行编排</t>
    </r>
  </si>
  <si>
    <t xml:space="preserve">CanonicalApplyRuntime.swift</t>
  </si>
  <si>
    <t xml:space="preserve">中</t>
  </si>
  <si>
    <r>
      <rPr>
        <sz val="10"/>
        <rFont val="Arial"/>
        <family val="0"/>
        <charset val="1"/>
      </rPr>
      <t xml:space="preserve">1271</t>
    </r>
    <r>
      <rPr>
        <sz val="10"/>
        <rFont val="DejaVu Sans"/>
        <family val="2"/>
      </rPr>
      <t xml:space="preserve">行</t>
    </r>
  </si>
  <si>
    <r>
      <rPr>
        <sz val="10"/>
        <rFont val="DejaVu Sans"/>
        <family val="2"/>
      </rPr>
      <t xml:space="preserve">同步运行时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决策叠加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</si>
  <si>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把 </t>
    </r>
    <r>
      <rPr>
        <sz val="10"/>
        <rFont val="Arial"/>
        <family val="0"/>
        <charset val="1"/>
      </rPr>
      <t xml:space="preserve">canonical </t>
    </r>
    <r>
      <rPr>
        <sz val="10"/>
        <rFont val="DejaVu Sans"/>
        <family val="2"/>
      </rPr>
      <t xml:space="preserve">决策接入被执行计划</t>
    </r>
  </si>
  <si>
    <t xml:space="preserve">CanonicalSyncRuntime.swift</t>
  </si>
  <si>
    <r>
      <rPr>
        <sz val="10"/>
        <rFont val="Arial"/>
        <family val="0"/>
        <charset val="1"/>
      </rPr>
      <t xml:space="preserve">604</t>
    </r>
    <r>
      <rPr>
        <sz val="10"/>
        <rFont val="DejaVu Sans"/>
        <family val="2"/>
      </rPr>
      <t xml:space="preserve">行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运行时主决策仅</t>
    </r>
    <r>
      <rPr>
        <sz val="10"/>
        <rFont val="Arial"/>
        <family val="0"/>
        <charset val="1"/>
      </rPr>
      <t xml:space="preserve">3 scope</t>
    </r>
  </si>
  <si>
    <t xml:space="preserve">库同步规划</t>
  </si>
  <si>
    <r>
      <rPr>
        <sz val="10"/>
        <rFont val="DejaVu Sans"/>
        <family val="2"/>
      </rPr>
      <t xml:space="preserve">文件夹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学习项 </t>
    </r>
    <r>
      <rPr>
        <sz val="10"/>
        <rFont val="Arial"/>
        <family val="0"/>
        <charset val="1"/>
      </rPr>
      <t xml:space="preserve">diff</t>
    </r>
  </si>
  <si>
    <t xml:space="preserve">CanonicalLibrarySyncPlanner.swift</t>
  </si>
  <si>
    <r>
      <rPr>
        <sz val="10"/>
        <rFont val="Arial"/>
        <family val="0"/>
        <charset val="1"/>
      </rPr>
      <t xml:space="preserve">607</t>
    </r>
    <r>
      <rPr>
        <sz val="10"/>
        <rFont val="DejaVu Sans"/>
        <family val="2"/>
      </rPr>
      <t xml:space="preserve">行</t>
    </r>
  </si>
  <si>
    <t xml:space="preserve">冲突解决</t>
  </si>
  <si>
    <t xml:space="preserve">冲突裁决</t>
  </si>
  <si>
    <t xml:space="preserve">CanonicalConflictResolver.swift</t>
  </si>
  <si>
    <r>
      <rPr>
        <sz val="10"/>
        <rFont val="Arial"/>
        <family val="0"/>
        <charset val="1"/>
      </rPr>
      <t xml:space="preserve">82</t>
    </r>
    <r>
      <rPr>
        <sz val="10"/>
        <rFont val="DejaVu Sans"/>
        <family val="2"/>
      </rPr>
      <t xml:space="preserve">行</t>
    </r>
  </si>
  <si>
    <r>
      <rPr>
        <sz val="10"/>
        <rFont val="DejaVu Sans"/>
        <family val="2"/>
      </rPr>
      <t xml:space="preserve">对象投影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契约</t>
    </r>
  </si>
  <si>
    <t xml:space="preserve">统一对外投影</t>
  </si>
  <si>
    <t xml:space="preserve">CanonicalObjectProjection / CanonicalProjectionContract</t>
  </si>
  <si>
    <r>
      <rPr>
        <sz val="10"/>
        <rFont val="Arial"/>
        <family val="0"/>
        <charset val="1"/>
      </rPr>
      <t xml:space="preserve">inventory </t>
    </r>
    <r>
      <rPr>
        <sz val="10"/>
        <rFont val="DejaVu Sans"/>
        <family val="2"/>
      </rPr>
      <t xml:space="preserve">运行时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契约</t>
    </r>
  </si>
  <si>
    <t xml:space="preserve">清单构建抽象</t>
  </si>
  <si>
    <t xml:space="preserve">CanonicalInventoryRuntime / CanonicalInventoryBuilderContract</t>
  </si>
  <si>
    <r>
      <rPr>
        <sz val="10"/>
        <rFont val="DejaVu Sans"/>
        <family val="2"/>
      </rPr>
      <t xml:space="preserve">抽象在</t>
    </r>
    <r>
      <rPr>
        <sz val="10"/>
        <rFont val="Arial"/>
        <family val="0"/>
        <charset val="1"/>
      </rPr>
      <t xml:space="preserve">;iPhone</t>
    </r>
    <r>
      <rPr>
        <sz val="10"/>
        <rFont val="DejaVu Sans"/>
        <family val="2"/>
      </rPr>
      <t xml:space="preserve">真实</t>
    </r>
    <r>
      <rPr>
        <sz val="10"/>
        <rFont val="Arial"/>
        <family val="0"/>
        <charset val="1"/>
      </rPr>
      <t xml:space="preserve">builder</t>
    </r>
    <r>
      <rPr>
        <sz val="10"/>
        <rFont val="DejaVu Sans"/>
        <family val="2"/>
      </rPr>
      <t xml:space="preserve">仍</t>
    </r>
    <r>
      <rPr>
        <sz val="10"/>
        <rFont val="Arial"/>
        <family val="0"/>
        <charset val="1"/>
      </rPr>
      <t xml:space="preserve">@MainActor</t>
    </r>
  </si>
  <si>
    <t xml:space="preserve">库对象模型</t>
  </si>
  <si>
    <t xml:space="preserve">库对象规范</t>
  </si>
  <si>
    <t xml:space="preserve">CanonicalLibraryObject.swift</t>
  </si>
  <si>
    <r>
      <rPr>
        <sz val="10"/>
        <rFont val="Arial"/>
        <family val="0"/>
        <charset val="1"/>
      </rPr>
      <t xml:space="preserve">365</t>
    </r>
    <r>
      <rPr>
        <sz val="10"/>
        <rFont val="DejaVu Sans"/>
        <family val="2"/>
      </rPr>
      <t xml:space="preserve">行</t>
    </r>
  </si>
  <si>
    <r>
      <rPr>
        <sz val="10"/>
        <rFont val="DejaVu Sans"/>
        <family val="2"/>
      </rPr>
      <t xml:space="preserve">【修漏传】</t>
    </r>
    <r>
      <rPr>
        <sz val="10"/>
        <rFont val="Arial"/>
        <family val="0"/>
        <charset val="1"/>
      </rPr>
      <t xml:space="preserve">Mac apply </t>
    </r>
    <r>
      <rPr>
        <sz val="10"/>
        <rFont val="DejaVu Sans"/>
        <family val="2"/>
      </rPr>
      <t xml:space="preserve">消费 </t>
    </r>
    <r>
      <rPr>
        <sz val="10"/>
        <rFont val="Arial"/>
        <family val="0"/>
        <charset val="1"/>
      </rPr>
      <t xml:space="preserve">manifest.recordings</t>
    </r>
  </si>
  <si>
    <t xml:space="preserve">Mac</t>
  </si>
  <si>
    <t xml:space="preserve">修『新文件不传』根因</t>
  </si>
  <si>
    <r>
      <rPr>
        <sz val="10"/>
        <rFont val="Arial"/>
        <family val="0"/>
        <charset val="1"/>
      </rPr>
      <t xml:space="preserve">RokuricsMac/StudyLibraryStore.swift(</t>
    </r>
    <r>
      <rPr>
        <sz val="10"/>
        <rFont val="DejaVu Sans"/>
        <family val="2"/>
      </rPr>
      <t xml:space="preserve">需改</t>
    </r>
    <r>
      <rPr>
        <sz val="10"/>
        <rFont val="Arial"/>
        <family val="0"/>
        <charset val="1"/>
      </rPr>
      <t xml:space="preserve">)</t>
    </r>
  </si>
  <si>
    <t xml:space="preserve">❌ 缺</t>
  </si>
  <si>
    <r>
      <rPr>
        <sz val="10"/>
        <rFont val="DejaVu Sans"/>
        <family val="2"/>
      </rPr>
      <t xml:space="preserve">仍只处理</t>
    </r>
    <r>
      <rPr>
        <sz val="10"/>
        <rFont val="Arial"/>
        <family val="0"/>
        <charset val="1"/>
      </rPr>
      <t xml:space="preserve">folders/items/tombstones(:642-671)</t>
    </r>
  </si>
  <si>
    <r>
      <rPr>
        <sz val="10"/>
        <rFont val="DejaVu Sans"/>
        <family val="2"/>
      </rPr>
      <t xml:space="preserve">【修卡顿】</t>
    </r>
    <r>
      <rPr>
        <sz val="10"/>
        <rFont val="Arial"/>
        <family val="0"/>
        <charset val="1"/>
      </rPr>
      <t xml:space="preserve">inventory builder </t>
    </r>
    <r>
      <rPr>
        <sz val="10"/>
        <rFont val="DejaVu Sans"/>
        <family val="2"/>
      </rPr>
      <t xml:space="preserve">移出主线程</t>
    </r>
  </si>
  <si>
    <t xml:space="preserve">iPhone</t>
  </si>
  <si>
    <t xml:space="preserve">修『卡顿』根因</t>
  </si>
  <si>
    <r>
      <rPr>
        <sz val="10"/>
        <rFont val="Arial"/>
        <family val="0"/>
        <charset val="1"/>
      </rPr>
      <t xml:space="preserve">StudyLibrarySyncCoordinator.swift(</t>
    </r>
    <r>
      <rPr>
        <sz val="10"/>
        <rFont val="DejaVu Sans"/>
        <family val="2"/>
      </rPr>
      <t xml:space="preserve">需改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</si>
  <si>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builder</t>
    </r>
    <r>
      <rPr>
        <sz val="10"/>
        <rFont val="DejaVu Sans"/>
        <family val="2"/>
      </rPr>
      <t xml:space="preserve">仍</t>
    </r>
    <r>
      <rPr>
        <sz val="10"/>
        <rFont val="Arial"/>
        <family val="0"/>
        <charset val="1"/>
      </rPr>
      <t xml:space="preserve">@MainActor(:1190);</t>
    </r>
    <r>
      <rPr>
        <sz val="10"/>
        <rFont val="DejaVu Sans"/>
        <family val="2"/>
      </rPr>
      <t xml:space="preserve">假遥测</t>
    </r>
    <r>
      <rPr>
        <sz val="10"/>
        <rFont val="Arial"/>
        <family val="0"/>
        <charset val="1"/>
      </rPr>
      <t xml:space="preserve">count=0</t>
    </r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</si>
  <si>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录音元数据</t>
    </r>
  </si>
  <si>
    <t xml:space="preserve">双端</t>
  </si>
  <si>
    <t xml:space="preserve">录音元信息同步</t>
  </si>
  <si>
    <t xml:space="preserve">IPhone/Mac RecordingMetadata{NoCommit,Cutover}Executor</t>
  </si>
  <si>
    <t xml:space="preserve">🟡 部分</t>
  </si>
  <si>
    <r>
      <rPr>
        <sz val="10"/>
        <rFont val="DejaVu Sans"/>
        <family val="2"/>
      </rPr>
      <t xml:space="preserve">有</t>
    </r>
    <r>
      <rPr>
        <sz val="10"/>
        <rFont val="Arial"/>
        <family val="0"/>
        <charset val="1"/>
      </rPr>
      <t xml:space="preserve">NoCommit+Cutover;</t>
    </r>
    <r>
      <rPr>
        <sz val="10"/>
        <rFont val="DejaVu Sans"/>
        <family val="2"/>
      </rPr>
      <t xml:space="preserve">缺</t>
    </r>
    <r>
      <rPr>
        <sz val="10"/>
        <rFont val="Arial"/>
        <family val="0"/>
        <charset val="1"/>
      </rPr>
      <t xml:space="preserve">ReadSeam+RealApplyPort</t>
    </r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</si>
  <si>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库元数据</t>
    </r>
  </si>
  <si>
    <r>
      <rPr>
        <sz val="10"/>
        <rFont val="DejaVu Sans"/>
        <family val="2"/>
      </rPr>
      <t xml:space="preserve">文件夹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学习项</t>
    </r>
  </si>
  <si>
    <t xml:space="preserve">IPhone/Mac LibraryMetadata{NoCommit,Cutover,ReadSideSeam,RealApplyPort}</t>
  </si>
  <si>
    <t xml:space="preserve">四件齐</t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</si>
  <si>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生成产物</t>
    </r>
  </si>
  <si>
    <r>
      <rPr>
        <sz val="10"/>
        <rFont val="DejaVu Sans"/>
        <family val="2"/>
      </rPr>
      <t xml:space="preserve">转写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笔记</t>
    </r>
  </si>
  <si>
    <t xml:space="preserve">IPhone/Mac GeneratedArtifact{NoCommit,Cutover,ReadSideSeam,RealApplyPort}</t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</si>
  <si>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墓碑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冲突</t>
    </r>
  </si>
  <si>
    <r>
      <rPr>
        <sz val="10"/>
        <rFont val="DejaVu Sans"/>
        <family val="2"/>
      </rPr>
      <t xml:space="preserve">删除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冲突</t>
    </r>
  </si>
  <si>
    <t xml:space="preserve">IPhone/Mac TombstoneConflict{NoCommit,Cutover,ReadSideSeam,RealApplyPort}</t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</si>
  <si>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音频上传</t>
    </r>
  </si>
  <si>
    <t xml:space="preserve">录音音频同步</t>
  </si>
  <si>
    <t xml:space="preserve">IPhone/Mac AudioUploadNoCommitExecutor</t>
  </si>
  <si>
    <r>
      <rPr>
        <sz val="10"/>
        <rFont val="DejaVu Sans"/>
        <family val="2"/>
      </rPr>
      <t xml:space="preserve">仅</t>
    </r>
    <r>
      <rPr>
        <sz val="10"/>
        <rFont val="Arial"/>
        <family val="0"/>
        <charset val="1"/>
      </rPr>
      <t xml:space="preserve">NoCommit;</t>
    </r>
    <r>
      <rPr>
        <sz val="10"/>
        <rFont val="DejaVu Sans"/>
        <family val="2"/>
      </rPr>
      <t xml:space="preserve">缺真</t>
    </r>
    <r>
      <rPr>
        <sz val="10"/>
        <rFont val="Arial"/>
        <family val="0"/>
        <charset val="1"/>
      </rPr>
      <t xml:space="preserve">commit/Cutover/Read</t>
    </r>
  </si>
  <si>
    <t xml:space="preserve">文件</t>
  </si>
  <si>
    <t xml:space="preserve">文件运行时</t>
  </si>
  <si>
    <t xml:space="preserve">文件操作抽象</t>
  </si>
  <si>
    <t xml:space="preserve">CanonicalFileRuntime.swift</t>
  </si>
  <si>
    <r>
      <rPr>
        <sz val="10"/>
        <rFont val="Arial"/>
        <family val="0"/>
        <charset val="1"/>
      </rPr>
      <t xml:space="preserve">475</t>
    </r>
    <r>
      <rPr>
        <sz val="10"/>
        <rFont val="DejaVu Sans"/>
        <family val="2"/>
      </rPr>
      <t xml:space="preserve">行</t>
    </r>
  </si>
  <si>
    <t xml:space="preserve">真实根原子写</t>
  </si>
  <si>
    <r>
      <rPr>
        <sz val="10"/>
        <rFont val="DejaVu Sans"/>
        <family val="2"/>
      </rPr>
      <t xml:space="preserve">防逃逸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原子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回滚写</t>
    </r>
  </si>
  <si>
    <t xml:space="preserve">CanonicalRootBoundMetadataWrite.swift</t>
  </si>
  <si>
    <r>
      <rPr>
        <sz val="10"/>
        <rFont val="Arial"/>
        <family val="0"/>
        <charset val="1"/>
      </rPr>
      <t xml:space="preserve">510</t>
    </r>
    <r>
      <rPr>
        <sz val="10"/>
        <rFont val="DejaVu Sans"/>
        <family val="2"/>
      </rPr>
      <t xml:space="preserve">行</t>
    </r>
  </si>
  <si>
    <t xml:space="preserve">生产执行编排</t>
  </si>
  <si>
    <t xml:space="preserve">生产写编排</t>
  </si>
  <si>
    <t xml:space="preserve">CanonicalProductionExecution.swift</t>
  </si>
  <si>
    <r>
      <rPr>
        <sz val="10"/>
        <rFont val="Arial"/>
        <family val="0"/>
        <charset val="1"/>
      </rPr>
      <t xml:space="preserve">538</t>
    </r>
    <r>
      <rPr>
        <sz val="10"/>
        <rFont val="DejaVu Sans"/>
        <family val="2"/>
      </rPr>
      <t xml:space="preserve">行</t>
    </r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</si>
  <si>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生产文件端口</t>
    </r>
  </si>
  <si>
    <t xml:space="preserve">真实根文件读写</t>
  </si>
  <si>
    <t xml:space="preserve">IPhoneCanonicalProductionFilePort.swift</t>
  </si>
  <si>
    <r>
      <rPr>
        <sz val="10"/>
        <rFont val="DejaVu Sans"/>
        <family val="2"/>
      </rPr>
      <t xml:space="preserve">默认</t>
    </r>
    <r>
      <rPr>
        <sz val="10"/>
        <rFont val="Arial"/>
        <family val="0"/>
        <charset val="1"/>
      </rPr>
      <t xml:space="preserve">dry-run(allowProductionRootWrites=false)</t>
    </r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</si>
  <si>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影子文件端口</t>
    </r>
  </si>
  <si>
    <t xml:space="preserve">影子比对</t>
  </si>
  <si>
    <t xml:space="preserve">IPhoneCanonicalShadowFilePort.swift</t>
  </si>
  <si>
    <t xml:space="preserve">低</t>
  </si>
  <si>
    <r>
      <rPr>
        <sz val="10"/>
        <rFont val="Arial"/>
        <family val="0"/>
        <charset val="1"/>
      </rPr>
      <t xml:space="preserve">Mac </t>
    </r>
    <r>
      <rPr>
        <sz val="10"/>
        <rFont val="DejaVu Sans"/>
        <family val="2"/>
      </rPr>
      <t xml:space="preserve">生产文件端口</t>
    </r>
  </si>
  <si>
    <t xml:space="preserve">MacCanonicalProductionFilePort.swift</t>
  </si>
  <si>
    <r>
      <rPr>
        <sz val="10"/>
        <rFont val="DejaVu Sans"/>
        <family val="2"/>
      </rPr>
      <t xml:space="preserve">默认</t>
    </r>
    <r>
      <rPr>
        <sz val="10"/>
        <rFont val="Arial"/>
        <family val="0"/>
        <charset val="1"/>
      </rPr>
      <t xml:space="preserve">dry-run</t>
    </r>
  </si>
  <si>
    <r>
      <rPr>
        <sz val="10"/>
        <rFont val="Arial"/>
        <family val="0"/>
        <charset val="1"/>
      </rPr>
      <t xml:space="preserve">Mac </t>
    </r>
    <r>
      <rPr>
        <sz val="10"/>
        <rFont val="DejaVu Sans"/>
        <family val="2"/>
      </rPr>
      <t xml:space="preserve">影子文件端口</t>
    </r>
  </si>
  <si>
    <t xml:space="preserve">MacCanonicalShadowFilePort.swift</t>
  </si>
  <si>
    <r>
      <rPr>
        <sz val="10"/>
        <rFont val="Arial"/>
        <family val="0"/>
        <charset val="1"/>
      </rPr>
      <t xml:space="preserve">legacy </t>
    </r>
    <r>
      <rPr>
        <sz val="10"/>
        <rFont val="DejaVu Sans"/>
        <family val="2"/>
      </rPr>
      <t xml:space="preserve">文件存储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执行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兜底</t>
    </r>
    <r>
      <rPr>
        <sz val="10"/>
        <rFont val="Arial"/>
        <family val="0"/>
        <charset val="1"/>
      </rPr>
      <t xml:space="preserve">)</t>
    </r>
  </si>
  <si>
    <t xml:space="preserve">实际磁盘存储</t>
  </si>
  <si>
    <t xml:space="preserve">AudioFileStore / MacRecordingFileStore / ReceivedFileStore</t>
  </si>
  <si>
    <t xml:space="preserve">⏸ 保留</t>
  </si>
  <si>
    <r>
      <rPr>
        <sz val="10"/>
        <rFont val="Arial"/>
        <family val="0"/>
        <charset val="1"/>
      </rPr>
      <t xml:space="preserve">Path B </t>
    </r>
    <r>
      <rPr>
        <sz val="10"/>
        <rFont val="DejaVu Sans"/>
        <family val="2"/>
      </rPr>
      <t xml:space="preserve">执行肌肉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勿动</t>
    </r>
  </si>
  <si>
    <t xml:space="preserve">连接</t>
  </si>
  <si>
    <t xml:space="preserve">传输运行时</t>
  </si>
  <si>
    <t xml:space="preserve">传输抽象</t>
  </si>
  <si>
    <t xml:space="preserve">CanonicalTransportRuntime.swift</t>
  </si>
  <si>
    <r>
      <rPr>
        <sz val="10"/>
        <rFont val="Arial"/>
        <family val="0"/>
        <charset val="1"/>
      </rPr>
      <t xml:space="preserve">256</t>
    </r>
    <r>
      <rPr>
        <sz val="10"/>
        <rFont val="DejaVu Sans"/>
        <family val="2"/>
      </rPr>
      <t xml:space="preserve">行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空壳</t>
    </r>
  </si>
  <si>
    <t xml:space="preserve">只读传输探针</t>
  </si>
  <si>
    <t xml:space="preserve">影子探测</t>
  </si>
  <si>
    <t xml:space="preserve">CanonicalReadOnlyTransportProbe.swift</t>
  </si>
  <si>
    <r>
      <rPr>
        <sz val="10"/>
        <rFont val="Arial"/>
        <family val="0"/>
        <charset val="1"/>
      </rPr>
      <t xml:space="preserve">801</t>
    </r>
    <r>
      <rPr>
        <sz val="10"/>
        <rFont val="DejaVu Sans"/>
        <family val="2"/>
      </rPr>
      <t xml:space="preserve">行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仅影子</t>
    </r>
  </si>
  <si>
    <t xml:space="preserve">生产端口契约</t>
  </si>
  <si>
    <t xml:space="preserve">端口协议定义</t>
  </si>
  <si>
    <t xml:space="preserve">CanonicalProductionPorts.swift</t>
  </si>
  <si>
    <r>
      <rPr>
        <sz val="10"/>
        <rFont val="Arial"/>
        <family val="0"/>
        <charset val="1"/>
      </rPr>
      <t xml:space="preserve">1483</t>
    </r>
    <r>
      <rPr>
        <sz val="10"/>
        <rFont val="DejaVu Sans"/>
        <family val="2"/>
      </rPr>
      <t xml:space="preserve">行</t>
    </r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</si>
  <si>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生产传输端口</t>
    </r>
  </si>
  <si>
    <t xml:space="preserve">真实发请求</t>
  </si>
  <si>
    <t xml:space="preserve">IPhoneCanonicalProductionTransportPort.swift</t>
  </si>
  <si>
    <r>
      <rPr>
        <sz val="10"/>
        <rFont val="Arial"/>
        <family val="0"/>
        <charset val="1"/>
      </rPr>
      <t xml:space="preserve">sendRequest </t>
    </r>
    <r>
      <rPr>
        <sz val="10"/>
        <rFont val="DejaVu Sans"/>
        <family val="2"/>
      </rPr>
      <t xml:space="preserve">抑制</t>
    </r>
    <r>
      <rPr>
        <sz val="10"/>
        <rFont val="Arial"/>
        <family val="0"/>
        <charset val="1"/>
      </rPr>
      <t xml:space="preserve">(throw networkExecutionSuppressed)</t>
    </r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</si>
  <si>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影子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探针传输</t>
    </r>
  </si>
  <si>
    <t xml:space="preserve">影子</t>
  </si>
  <si>
    <t xml:space="preserve">IPhoneCanonicalShadowTransportPort / IPhoneCanonicalLiveReadOnlyTransportProbe</t>
  </si>
  <si>
    <r>
      <rPr>
        <sz val="10"/>
        <rFont val="Arial"/>
        <family val="0"/>
        <charset val="1"/>
      </rPr>
      <t xml:space="preserve">Mac </t>
    </r>
    <r>
      <rPr>
        <sz val="10"/>
        <rFont val="DejaVu Sans"/>
        <family val="2"/>
      </rPr>
      <t xml:space="preserve">生产传输端口</t>
    </r>
  </si>
  <si>
    <t xml:space="preserve">MacCanonicalProductionTransportPort.swift</t>
  </si>
  <si>
    <t xml:space="preserve">抑制</t>
  </si>
  <si>
    <r>
      <rPr>
        <sz val="10"/>
        <rFont val="Arial"/>
        <family val="0"/>
        <charset val="1"/>
      </rPr>
      <t xml:space="preserve">Mac </t>
    </r>
    <r>
      <rPr>
        <sz val="10"/>
        <rFont val="DejaVu Sans"/>
        <family val="2"/>
      </rPr>
      <t xml:space="preserve">影子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探针传输</t>
    </r>
  </si>
  <si>
    <t xml:space="preserve">MacCanonicalShadowTransportPort / MacCanonicalLiveReadOnlyTransportProbeAudit</t>
  </si>
  <si>
    <r>
      <rPr>
        <sz val="10"/>
        <rFont val="Arial"/>
        <family val="0"/>
        <charset val="1"/>
      </rPr>
      <t xml:space="preserve">legacy </t>
    </r>
    <r>
      <rPr>
        <sz val="10"/>
        <rFont val="DejaVu Sans"/>
        <family val="2"/>
      </rPr>
      <t xml:space="preserve">连接</t>
    </r>
    <r>
      <rPr>
        <sz val="10"/>
        <rFont val="Arial"/>
        <family val="0"/>
        <charset val="1"/>
      </rPr>
      <t xml:space="preserve">(TLS/</t>
    </r>
    <r>
      <rPr>
        <sz val="10"/>
        <rFont val="DejaVu Sans"/>
        <family val="2"/>
      </rPr>
      <t xml:space="preserve">配对</t>
    </r>
    <r>
      <rPr>
        <sz val="10"/>
        <rFont val="Arial"/>
        <family val="0"/>
        <charset val="1"/>
      </rPr>
      <t xml:space="preserve">/HMAC/server)</t>
    </r>
  </si>
  <si>
    <t xml:space="preserve">真实安全传输</t>
  </si>
  <si>
    <t xml:space="preserve">SecureLocalHTTPSServer / RequestVerifier / PairingManager / PairedDeviceStore / SelfSignedCertificateBuilder / SecureMacUploadClient</t>
  </si>
  <si>
    <r>
      <rPr>
        <sz val="10"/>
        <rFont val="DejaVu Sans"/>
        <family val="2"/>
      </rPr>
      <t xml:space="preserve">可靠且安全</t>
    </r>
    <r>
      <rPr>
        <sz val="10"/>
        <rFont val="Arial"/>
        <family val="0"/>
        <charset val="1"/>
      </rPr>
      <t xml:space="preserve">,Path B </t>
    </r>
    <r>
      <rPr>
        <sz val="10"/>
        <rFont val="DejaVu Sans"/>
        <family val="2"/>
      </rPr>
      <t xml:space="preserve">勿重写</t>
    </r>
  </si>
  <si>
    <t xml:space="preserve">上传</t>
  </si>
  <si>
    <t xml:space="preserve">上传运行时</t>
  </si>
  <si>
    <t xml:space="preserve">上传抽象</t>
  </si>
  <si>
    <t xml:space="preserve">CanonicalUploadRuntime.swift</t>
  </si>
  <si>
    <r>
      <rPr>
        <sz val="10"/>
        <rFont val="Arial"/>
        <family val="0"/>
        <charset val="1"/>
      </rPr>
      <t xml:space="preserve">473</t>
    </r>
    <r>
      <rPr>
        <sz val="10"/>
        <rFont val="DejaVu Sans"/>
        <family val="2"/>
      </rPr>
      <t xml:space="preserve">行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空壳</t>
    </r>
  </si>
  <si>
    <r>
      <rPr>
        <sz val="10"/>
        <rFont val="DejaVu Sans"/>
        <family val="2"/>
      </rPr>
      <t xml:space="preserve">音频上传 </t>
    </r>
    <r>
      <rPr>
        <sz val="10"/>
        <rFont val="Arial"/>
        <family val="0"/>
        <charset val="1"/>
      </rPr>
      <t xml:space="preserve">cutover </t>
    </r>
    <r>
      <rPr>
        <sz val="10"/>
        <rFont val="DejaVu Sans"/>
        <family val="2"/>
      </rPr>
      <t xml:space="preserve">模型</t>
    </r>
  </si>
  <si>
    <t xml:space="preserve">上传迁移模型</t>
  </si>
  <si>
    <t xml:space="preserve">CanonicalAudioUploadCutover.swift</t>
  </si>
  <si>
    <r>
      <rPr>
        <sz val="10"/>
        <rFont val="Arial"/>
        <family val="0"/>
        <charset val="1"/>
      </rPr>
      <t xml:space="preserve">1507</t>
    </r>
    <r>
      <rPr>
        <sz val="10"/>
        <rFont val="DejaVu Sans"/>
        <family val="2"/>
      </rPr>
      <t xml:space="preserve">行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模型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非执行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</si>
  <si>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音频上传 </t>
    </r>
    <r>
      <rPr>
        <sz val="10"/>
        <rFont val="Arial"/>
        <family val="0"/>
        <charset val="1"/>
      </rPr>
      <t xml:space="preserve">runtime commit </t>
    </r>
    <r>
      <rPr>
        <sz val="10"/>
        <rFont val="DejaVu Sans"/>
        <family val="2"/>
      </rPr>
      <t xml:space="preserve">模型</t>
    </r>
  </si>
  <si>
    <t xml:space="preserve">上传提交模型</t>
  </si>
  <si>
    <t xml:space="preserve">CanonicalAudioUploadRuntimeCommit.swift</t>
  </si>
  <si>
    <r>
      <rPr>
        <sz val="10"/>
        <rFont val="Arial"/>
        <family val="0"/>
        <charset val="1"/>
      </rPr>
      <t xml:space="preserve">1560</t>
    </r>
    <r>
      <rPr>
        <sz val="10"/>
        <rFont val="DejaVu Sans"/>
        <family val="2"/>
      </rPr>
      <t xml:space="preserve">行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模型</t>
    </r>
    <r>
      <rPr>
        <sz val="10"/>
        <rFont val="Arial"/>
        <family val="0"/>
        <charset val="1"/>
      </rPr>
      <t xml:space="preserve">)</t>
    </r>
  </si>
  <si>
    <t xml:space="preserve">传输状态机</t>
  </si>
  <si>
    <t xml:space="preserve">上传状态</t>
  </si>
  <si>
    <t xml:space="preserve">CanonicalTransferStateMachine.swift</t>
  </si>
  <si>
    <r>
      <rPr>
        <sz val="10"/>
        <rFont val="Arial"/>
        <family val="0"/>
        <charset val="1"/>
      </rPr>
      <t xml:space="preserve">192</t>
    </r>
    <r>
      <rPr>
        <sz val="10"/>
        <rFont val="DejaVu Sans"/>
        <family val="2"/>
      </rPr>
      <t xml:space="preserve">行</t>
    </r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</si>
  <si>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生产上传端口</t>
    </r>
  </si>
  <si>
    <t xml:space="preserve">真实分块上传</t>
  </si>
  <si>
    <t xml:space="preserve">IPhoneCanonicalProductionUploadPort.swift</t>
  </si>
  <si>
    <r>
      <rPr>
        <sz val="10"/>
        <rFont val="Arial"/>
        <family val="0"/>
        <charset val="1"/>
      </rPr>
      <t xml:space="preserve">fakeLedger </t>
    </r>
    <r>
      <rPr>
        <sz val="10"/>
        <rFont val="DejaVu Sans"/>
        <family val="2"/>
      </rPr>
      <t xml:space="preserve">空壳</t>
    </r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</si>
  <si>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音频 </t>
    </r>
    <r>
      <rPr>
        <sz val="10"/>
        <rFont val="Arial"/>
        <family val="0"/>
        <charset val="1"/>
      </rPr>
      <t xml:space="preserve">NoCommit </t>
    </r>
    <r>
      <rPr>
        <sz val="10"/>
        <rFont val="DejaVu Sans"/>
        <family val="2"/>
      </rPr>
      <t xml:space="preserve">执行器</t>
    </r>
  </si>
  <si>
    <t xml:space="preserve">不提交演练</t>
  </si>
  <si>
    <t xml:space="preserve">IPhoneAudioUploadNoCommitExecutor.swift</t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</si>
  <si>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音频 </t>
    </r>
    <r>
      <rPr>
        <sz val="10"/>
        <rFont val="Arial"/>
        <family val="0"/>
        <charset val="1"/>
      </rPr>
      <t xml:space="preserve">runtime </t>
    </r>
    <r>
      <rPr>
        <sz val="10"/>
        <rFont val="DejaVu Sans"/>
        <family val="2"/>
      </rPr>
      <t xml:space="preserve">适配器</t>
    </r>
  </si>
  <si>
    <r>
      <rPr>
        <sz val="10"/>
        <rFont val="DejaVu Sans"/>
        <family val="2"/>
      </rPr>
      <t xml:space="preserve">接 </t>
    </r>
    <r>
      <rPr>
        <sz val="10"/>
        <rFont val="Arial"/>
        <family val="0"/>
        <charset val="1"/>
      </rPr>
      <t xml:space="preserve">runtime</t>
    </r>
  </si>
  <si>
    <t xml:space="preserve">IPhoneCanonicalAudioUploadRuntimeAdapter.swift</t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</si>
  <si>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音频 真实 </t>
    </r>
    <r>
      <rPr>
        <sz val="10"/>
        <rFont val="Arial"/>
        <family val="0"/>
        <charset val="1"/>
      </rPr>
      <t xml:space="preserve">commit </t>
    </r>
    <r>
      <rPr>
        <sz val="10"/>
        <rFont val="DejaVu Sans"/>
        <family val="2"/>
      </rPr>
      <t xml:space="preserve">执行器</t>
    </r>
  </si>
  <si>
    <t xml:space="preserve">真正提交音频</t>
  </si>
  <si>
    <r>
      <rPr>
        <sz val="10"/>
        <rFont val="DejaVu Sans"/>
        <family val="2"/>
      </rPr>
      <t xml:space="preserve">应有 </t>
    </r>
    <r>
      <rPr>
        <sz val="10"/>
        <rFont val="Arial"/>
        <family val="0"/>
        <charset val="1"/>
      </rPr>
      <t xml:space="preserve">IPhoneAudioUploadCutoverExecutor(</t>
    </r>
    <r>
      <rPr>
        <sz val="10"/>
        <rFont val="DejaVu Sans"/>
        <family val="2"/>
      </rPr>
      <t xml:space="preserve">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</si>
  <si>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音频域无真</t>
    </r>
    <r>
      <rPr>
        <sz val="10"/>
        <rFont val="Arial"/>
        <family val="0"/>
        <charset val="1"/>
      </rPr>
      <t xml:space="preserve">commit</t>
    </r>
  </si>
  <si>
    <r>
      <rPr>
        <sz val="10"/>
        <rFont val="Arial"/>
        <family val="0"/>
        <charset val="1"/>
      </rPr>
      <t xml:space="preserve">Mac </t>
    </r>
    <r>
      <rPr>
        <sz val="10"/>
        <rFont val="DejaVu Sans"/>
        <family val="2"/>
      </rPr>
      <t xml:space="preserve">生产上传端口</t>
    </r>
  </si>
  <si>
    <t xml:space="preserve">真实接收</t>
  </si>
  <si>
    <t xml:space="preserve">MacCanonicalProductionUploadPort.swift</t>
  </si>
  <si>
    <t xml:space="preserve">空壳</t>
  </si>
  <si>
    <r>
      <rPr>
        <sz val="10"/>
        <rFont val="Arial"/>
        <family val="0"/>
        <charset val="1"/>
      </rPr>
      <t xml:space="preserve">Mac </t>
    </r>
    <r>
      <rPr>
        <sz val="10"/>
        <rFont val="DejaVu Sans"/>
        <family val="2"/>
      </rPr>
      <t xml:space="preserve">音频 </t>
    </r>
    <r>
      <rPr>
        <sz val="10"/>
        <rFont val="Arial"/>
        <family val="0"/>
        <charset val="1"/>
      </rPr>
      <t xml:space="preserve">NoCommit </t>
    </r>
    <r>
      <rPr>
        <sz val="10"/>
        <rFont val="DejaVu Sans"/>
        <family val="2"/>
      </rPr>
      <t xml:space="preserve">执行器</t>
    </r>
  </si>
  <si>
    <t xml:space="preserve">演练</t>
  </si>
  <si>
    <t xml:space="preserve">MacAudioUploadNoCommitExecutor.swift</t>
  </si>
  <si>
    <r>
      <rPr>
        <sz val="10"/>
        <rFont val="Arial"/>
        <family val="0"/>
        <charset val="1"/>
      </rPr>
      <t xml:space="preserve">Mac </t>
    </r>
    <r>
      <rPr>
        <sz val="10"/>
        <rFont val="DejaVu Sans"/>
        <family val="2"/>
      </rPr>
      <t xml:space="preserve">音频 真实 </t>
    </r>
    <r>
      <rPr>
        <sz val="10"/>
        <rFont val="Arial"/>
        <family val="0"/>
        <charset val="1"/>
      </rPr>
      <t xml:space="preserve">commit </t>
    </r>
    <r>
      <rPr>
        <sz val="10"/>
        <rFont val="DejaVu Sans"/>
        <family val="2"/>
      </rPr>
      <t xml:space="preserve">执行器</t>
    </r>
  </si>
  <si>
    <t xml:space="preserve">真正落地音频</t>
  </si>
  <si>
    <r>
      <rPr>
        <sz val="10"/>
        <rFont val="DejaVu Sans"/>
        <family val="2"/>
      </rPr>
      <t xml:space="preserve">应有 </t>
    </r>
    <r>
      <rPr>
        <sz val="10"/>
        <rFont val="Arial"/>
        <family val="0"/>
        <charset val="1"/>
      </rPr>
      <t xml:space="preserve">MacAudioUploadCutoverExecutor(</t>
    </r>
    <r>
      <rPr>
        <sz val="10"/>
        <rFont val="DejaVu Sans"/>
        <family val="2"/>
      </rPr>
      <t xml:space="preserve">缺</t>
    </r>
    <r>
      <rPr>
        <sz val="10"/>
        <rFont val="Arial"/>
        <family val="0"/>
        <charset val="1"/>
      </rPr>
      <t xml:space="preserve">)</t>
    </r>
  </si>
  <si>
    <t xml:space="preserve">缺</t>
  </si>
  <si>
    <r>
      <rPr>
        <sz val="10"/>
        <rFont val="Arial"/>
        <family val="0"/>
        <charset val="1"/>
      </rPr>
      <t xml:space="preserve">legacy </t>
    </r>
    <r>
      <rPr>
        <sz val="10"/>
        <rFont val="DejaVu Sans"/>
        <family val="2"/>
      </rPr>
      <t xml:space="preserve">上传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分块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重试</t>
    </r>
    <r>
      <rPr>
        <sz val="10"/>
        <rFont val="Arial"/>
        <family val="0"/>
        <charset val="1"/>
      </rPr>
      <t xml:space="preserve">/ledger)</t>
    </r>
  </si>
  <si>
    <t xml:space="preserve">实际上传执行</t>
  </si>
  <si>
    <t xml:space="preserve">RecordingUploadCoordinator/Client/Payload/Status / SecureMacUploadClient / UploadFlightRecorder</t>
  </si>
  <si>
    <r>
      <rPr>
        <sz val="10"/>
        <rFont val="DejaVu Sans"/>
        <family val="2"/>
      </rPr>
      <t xml:space="preserve">保留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有</t>
    </r>
    <r>
      <rPr>
        <sz val="10"/>
        <rFont val="Arial"/>
        <family val="0"/>
        <charset val="1"/>
      </rPr>
      <t xml:space="preserve">retry-drain bug</t>
    </r>
    <r>
      <rPr>
        <sz val="10"/>
        <rFont val="DejaVu Sans"/>
        <family val="2"/>
      </rPr>
      <t xml:space="preserve">待修</t>
    </r>
  </si>
  <si>
    <t xml:space="preserve">接口</t>
  </si>
  <si>
    <t xml:space="preserve">端口契约</t>
  </si>
  <si>
    <t xml:space="preserve">双端端口协议</t>
  </si>
  <si>
    <t xml:space="preserve">投影契约</t>
  </si>
  <si>
    <t xml:space="preserve">对外投影协议</t>
  </si>
  <si>
    <t xml:space="preserve">CanonicalProjectionContract.swift</t>
  </si>
  <si>
    <r>
      <rPr>
        <sz val="10"/>
        <rFont val="Arial"/>
        <family val="0"/>
        <charset val="1"/>
      </rPr>
      <t xml:space="preserve">inventory </t>
    </r>
    <r>
      <rPr>
        <sz val="10"/>
        <rFont val="DejaVu Sans"/>
        <family val="2"/>
      </rPr>
      <t xml:space="preserve">构建契约</t>
    </r>
  </si>
  <si>
    <t xml:space="preserve">清单构建协议</t>
  </si>
  <si>
    <t xml:space="preserve">CanonicalInventoryBuilderContract.swift</t>
  </si>
  <si>
    <t xml:space="preserve">内核门面</t>
  </si>
  <si>
    <t xml:space="preserve">对外统一入口</t>
  </si>
  <si>
    <t xml:space="preserve">CanonicalKernelFacade.swift</t>
  </si>
  <si>
    <r>
      <rPr>
        <sz val="10"/>
        <rFont val="Arial"/>
        <family val="0"/>
        <charset val="1"/>
      </rPr>
      <t xml:space="preserve">584</t>
    </r>
    <r>
      <rPr>
        <sz val="10"/>
        <rFont val="DejaVu Sans"/>
        <family val="2"/>
      </rPr>
      <t xml:space="preserve">行</t>
    </r>
  </si>
  <si>
    <t xml:space="preserve">双端迁移门面</t>
  </si>
  <si>
    <t xml:space="preserve">端到端编排门面</t>
  </si>
  <si>
    <t xml:space="preserve">CanonicalIPhoneMigrationFacade / CanonicalMacMigrationFacade</t>
  </si>
  <si>
    <r>
      <rPr>
        <sz val="10"/>
        <rFont val="DejaVu Sans"/>
        <family val="2"/>
      </rPr>
      <t xml:space="preserve">主开关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旧一键切</t>
    </r>
    <r>
      <rPr>
        <sz val="10"/>
        <rFont val="Arial"/>
        <family val="0"/>
        <charset val="1"/>
      </rPr>
      <t xml:space="preserve">)</t>
    </r>
  </si>
  <si>
    <t xml:space="preserve">一个开关切新旧内核</t>
  </si>
  <si>
    <t xml:space="preserve">CanonicalKernelSwitch.swift</t>
  </si>
  <si>
    <r>
      <rPr>
        <sz val="10"/>
        <rFont val="Arial"/>
        <family val="0"/>
        <charset val="1"/>
      </rPr>
      <t xml:space="preserve">728</t>
    </r>
    <r>
      <rPr>
        <sz val="10"/>
        <rFont val="DejaVu Sans"/>
        <family val="2"/>
      </rPr>
      <t xml:space="preserve">行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默认</t>
    </r>
    <r>
      <rPr>
        <sz val="10"/>
        <rFont val="Arial"/>
        <family val="0"/>
        <charset val="1"/>
      </rPr>
      <t xml:space="preserve">oldKernel,</t>
    </r>
    <r>
      <rPr>
        <sz val="10"/>
        <rFont val="DejaVu Sans"/>
        <family val="2"/>
      </rPr>
      <t xml:space="preserve">含安全</t>
    </r>
    <r>
      <rPr>
        <sz val="10"/>
        <rFont val="Arial"/>
        <family val="0"/>
        <charset val="1"/>
      </rPr>
      <t xml:space="preserve">blocker</t>
    </r>
  </si>
  <si>
    <r>
      <rPr>
        <sz val="10"/>
        <rFont val="Arial"/>
        <family val="0"/>
        <charset val="1"/>
      </rPr>
      <t xml:space="preserve">legacy </t>
    </r>
    <r>
      <rPr>
        <sz val="10"/>
        <rFont val="DejaVu Sans"/>
        <family val="2"/>
      </rPr>
      <t xml:space="preserve">兼容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切回证明</t>
    </r>
  </si>
  <si>
    <t xml:space="preserve">切回旧内核数据无损证明</t>
  </si>
  <si>
    <t xml:space="preserve">CanonicalLegacyCompatibility.swift</t>
  </si>
  <si>
    <r>
      <rPr>
        <sz val="10"/>
        <rFont val="DejaVu Sans"/>
        <family val="2"/>
      </rPr>
      <t xml:space="preserve">仅合成数据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真实库未证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命门</t>
    </r>
    <r>
      <rPr>
        <sz val="10"/>
        <rFont val="Arial"/>
        <family val="0"/>
        <charset val="1"/>
      </rPr>
      <t xml:space="preserve">)</t>
    </r>
  </si>
  <si>
    <t xml:space="preserve">完成度门</t>
  </si>
  <si>
    <t xml:space="preserve">定义『写好』</t>
  </si>
  <si>
    <t xml:space="preserve">CanonicalSyncKernelCompletion.swift</t>
  </si>
  <si>
    <r>
      <rPr>
        <sz val="10"/>
        <rFont val="Arial"/>
        <family val="0"/>
        <charset val="1"/>
      </rPr>
      <t xml:space="preserve">1010</t>
    </r>
    <r>
      <rPr>
        <sz val="10"/>
        <rFont val="DejaVu Sans"/>
        <family val="2"/>
      </rPr>
      <t xml:space="preserve">行</t>
    </r>
  </si>
  <si>
    <r>
      <rPr>
        <sz val="10"/>
        <rFont val="Arial"/>
        <family val="0"/>
        <charset val="1"/>
      </rPr>
      <t xml:space="preserve">legacy </t>
    </r>
    <r>
      <rPr>
        <sz val="10"/>
        <rFont val="DejaVu Sans"/>
        <family val="2"/>
      </rPr>
      <t xml:space="preserve">清单</t>
    </r>
    <r>
      <rPr>
        <sz val="10"/>
        <rFont val="Arial"/>
        <family val="0"/>
        <charset val="1"/>
      </rPr>
      <t xml:space="preserve">/DTO </t>
    </r>
    <r>
      <rPr>
        <sz val="10"/>
        <rFont val="DejaVu Sans"/>
        <family val="2"/>
      </rPr>
      <t xml:space="preserve">模型</t>
    </r>
  </si>
  <si>
    <t xml:space="preserve">线格式</t>
  </si>
  <si>
    <r>
      <rPr>
        <sz val="10"/>
        <rFont val="Arial"/>
        <family val="0"/>
        <charset val="1"/>
      </rPr>
      <t xml:space="preserve">StudyLibrarySyncModels.swift(</t>
    </r>
    <r>
      <rPr>
        <sz val="10"/>
        <rFont val="DejaVu Sans"/>
        <family val="2"/>
      </rPr>
      <t xml:space="preserve">双端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</si>
  <si>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保留</t>
    </r>
    <r>
      <rPr>
        <sz val="10"/>
        <rFont val="Arial"/>
        <family val="0"/>
        <charset val="1"/>
      </rPr>
      <t xml:space="preserve">;canonical </t>
    </r>
    <r>
      <rPr>
        <sz val="10"/>
        <rFont val="DejaVu Sans"/>
        <family val="2"/>
      </rPr>
      <t xml:space="preserve">经 </t>
    </r>
    <r>
      <rPr>
        <sz val="10"/>
        <rFont val="Arial"/>
        <family val="0"/>
        <charset val="1"/>
      </rPr>
      <t xml:space="preserve">bridge </t>
    </r>
    <r>
      <rPr>
        <sz val="10"/>
        <rFont val="DejaVu Sans"/>
        <family val="2"/>
      </rPr>
      <t xml:space="preserve">复用</t>
    </r>
  </si>
  <si>
    <t xml:space="preserve">共享聚合入口</t>
  </si>
  <si>
    <r>
      <rPr>
        <sz val="10"/>
        <rFont val="Arial"/>
        <family val="0"/>
        <charset val="1"/>
      </rPr>
      <t xml:space="preserve">SyncCore </t>
    </r>
    <r>
      <rPr>
        <sz val="10"/>
        <rFont val="DejaVu Sans"/>
        <family val="2"/>
      </rPr>
      <t xml:space="preserve">聚合</t>
    </r>
  </si>
  <si>
    <t xml:space="preserve">SyncCore.swift</t>
  </si>
  <si>
    <t xml:space="preserve">UI</t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</si>
  <si>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读切换接入</t>
    </r>
  </si>
  <si>
    <r>
      <rPr>
        <sz val="10"/>
        <rFont val="Arial"/>
        <family val="0"/>
        <charset val="1"/>
      </rPr>
      <t xml:space="preserve">UI </t>
    </r>
    <r>
      <rPr>
        <sz val="10"/>
        <rFont val="DejaVu Sans"/>
        <family val="2"/>
      </rPr>
      <t xml:space="preserve">读 </t>
    </r>
    <r>
      <rPr>
        <sz val="10"/>
        <rFont val="Arial"/>
        <family val="0"/>
        <charset val="1"/>
      </rPr>
      <t xml:space="preserve">canonical </t>
    </r>
    <r>
      <rPr>
        <sz val="10"/>
        <rFont val="DejaVu Sans"/>
        <family val="2"/>
      </rPr>
      <t xml:space="preserve">投影</t>
    </r>
  </si>
  <si>
    <t xml:space="preserve">RecordingLibraryView / IPhoneAIChatView / RecordingSessionView / RecordingStudyDetailPage / StudyLibraryStore</t>
  </si>
  <si>
    <r>
      <rPr>
        <sz val="10"/>
        <rFont val="DejaVu Sans"/>
        <family val="2"/>
      </rPr>
      <t xml:space="preserve">已接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默认</t>
    </r>
    <r>
      <rPr>
        <sz val="10"/>
        <rFont val="Arial"/>
        <family val="0"/>
        <charset val="1"/>
      </rPr>
      <t xml:space="preserve">legacy(canonicalReadServed</t>
    </r>
    <r>
      <rPr>
        <sz val="10"/>
        <rFont val="DejaVu Sans"/>
        <family val="2"/>
      </rPr>
      <t xml:space="preserve">为闸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</si>
  <si>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Mac </t>
    </r>
    <r>
      <rPr>
        <sz val="10"/>
        <rFont val="DejaVu Sans"/>
        <family val="2"/>
      </rPr>
      <t xml:space="preserve">读切换接入</t>
    </r>
  </si>
  <si>
    <t xml:space="preserve">MacStudyLibraryView / MacAIChatView / StudyLibraryStore</t>
  </si>
  <si>
    <r>
      <rPr>
        <sz val="10"/>
        <rFont val="DejaVu Sans"/>
        <family val="2"/>
      </rPr>
      <t xml:space="preserve">已接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默认</t>
    </r>
    <r>
      <rPr>
        <sz val="10"/>
        <rFont val="Arial"/>
        <family val="0"/>
        <charset val="1"/>
      </rPr>
      <t xml:space="preserve">legacy</t>
    </r>
  </si>
  <si>
    <r>
      <rPr>
        <sz val="10"/>
        <rFont val="Arial"/>
        <family val="0"/>
        <charset val="1"/>
      </rPr>
      <t xml:space="preserve">iPhone </t>
    </r>
    <r>
      <rPr>
        <sz val="10"/>
        <rFont val="DejaVu Sans"/>
        <family val="2"/>
      </rPr>
      <t xml:space="preserve">迁移试点开关</t>
    </r>
  </si>
  <si>
    <r>
      <rPr>
        <sz val="10"/>
        <rFont val="Arial"/>
        <family val="0"/>
        <charset val="1"/>
      </rPr>
      <t xml:space="preserve">Debug </t>
    </r>
    <r>
      <rPr>
        <sz val="10"/>
        <rFont val="DejaVu Sans"/>
        <family val="2"/>
      </rPr>
      <t xml:space="preserve">开关</t>
    </r>
  </si>
  <si>
    <t xml:space="preserve">IPhoneSettingsView.swift</t>
  </si>
  <si>
    <r>
      <rPr>
        <sz val="10"/>
        <rFont val="Arial"/>
        <family val="0"/>
        <charset val="1"/>
      </rPr>
      <t xml:space="preserve">#if DEBUG,</t>
    </r>
    <r>
      <rPr>
        <sz val="10"/>
        <rFont val="DejaVu Sans"/>
        <family val="2"/>
      </rPr>
      <t xml:space="preserve">默认</t>
    </r>
    <r>
      <rPr>
        <sz val="10"/>
        <rFont val="Arial"/>
        <family val="0"/>
        <charset val="1"/>
      </rPr>
      <t xml:space="preserve">off</t>
    </r>
  </si>
  <si>
    <r>
      <rPr>
        <sz val="10"/>
        <rFont val="Arial"/>
        <family val="0"/>
        <charset val="1"/>
      </rPr>
      <t xml:space="preserve">Mac </t>
    </r>
    <r>
      <rPr>
        <sz val="10"/>
        <rFont val="DejaVu Sans"/>
        <family val="2"/>
      </rPr>
      <t xml:space="preserve">迁移试点开关</t>
    </r>
  </si>
  <si>
    <t xml:space="preserve">MacSettingsView.swift</t>
  </si>
  <si>
    <r>
      <rPr>
        <sz val="10"/>
        <rFont val="DejaVu Sans"/>
        <family val="2"/>
      </rPr>
      <t xml:space="preserve">单一主开关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用户可见 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旧</t>
    </r>
    <r>
      <rPr>
        <sz val="10"/>
        <rFont val="Arial"/>
        <family val="0"/>
        <charset val="1"/>
      </rPr>
      <t xml:space="preserve">)</t>
    </r>
  </si>
  <si>
    <t xml:space="preserve">把多旋钮收敛成一个</t>
  </si>
  <si>
    <r>
      <rPr>
        <sz val="10"/>
        <rFont val="Arial"/>
        <family val="0"/>
        <charset val="1"/>
      </rPr>
      <t xml:space="preserve">IPhoneSettingsView / MacSettingsView(</t>
    </r>
    <r>
      <rPr>
        <sz val="10"/>
        <rFont val="DejaVu Sans"/>
        <family val="2"/>
      </rPr>
      <t xml:space="preserve">需改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</si>
  <si>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开关在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收敛未完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仍多旋钮</t>
    </r>
    <r>
      <rPr>
        <sz val="10"/>
        <rFont val="Arial"/>
        <family val="0"/>
        <charset val="1"/>
      </rPr>
      <t xml:space="preserve">)</t>
    </r>
  </si>
  <si>
    <t xml:space="preserve">双端状态显示一致</t>
  </si>
  <si>
    <t xml:space="preserve">修『状态不一致』</t>
  </si>
  <si>
    <r>
      <rPr>
        <sz val="10"/>
        <rFont val="Arial"/>
        <family val="0"/>
        <charset val="1"/>
      </rPr>
      <t xml:space="preserve">RecordingStatusView / MacReceiverStatusCard </t>
    </r>
    <r>
      <rPr>
        <sz val="10"/>
        <rFont val="DejaVu Sans"/>
        <family val="2"/>
      </rPr>
      <t xml:space="preserve">等</t>
    </r>
  </si>
  <si>
    <r>
      <rPr>
        <sz val="10"/>
        <rFont val="DejaVu Sans"/>
        <family val="2"/>
      </rPr>
      <t xml:space="preserve">读切换有帮助</t>
    </r>
    <r>
      <rPr>
        <sz val="10"/>
        <rFont val="Arial"/>
        <family val="0"/>
        <charset val="1"/>
      </rPr>
      <t xml:space="preserve">,legacy</t>
    </r>
    <r>
      <rPr>
        <sz val="10"/>
        <rFont val="DejaVu Sans"/>
        <family val="2"/>
      </rPr>
      <t xml:space="preserve">状态路径仍在</t>
    </r>
  </si>
  <si>
    <t xml:space="preserve">同步域</t>
  </si>
  <si>
    <r>
      <rPr>
        <b val="true"/>
        <sz val="11"/>
        <color rgb="FFFFFFFF"/>
        <rFont val="Arial"/>
        <family val="0"/>
        <charset val="1"/>
      </rPr>
      <t xml:space="preserve">NoCommit </t>
    </r>
    <r>
      <rPr>
        <b val="true"/>
        <sz val="11"/>
        <color rgb="FFFFFFFF"/>
        <rFont val="DejaVu Sans"/>
        <family val="2"/>
      </rPr>
      <t xml:space="preserve">执行器</t>
    </r>
  </si>
  <si>
    <r>
      <rPr>
        <b val="true"/>
        <sz val="11"/>
        <color rgb="FFFFFFFF"/>
        <rFont val="Arial"/>
        <family val="0"/>
        <charset val="1"/>
      </rPr>
      <t xml:space="preserve">Cutover </t>
    </r>
    <r>
      <rPr>
        <b val="true"/>
        <sz val="11"/>
        <color rgb="FFFFFFFF"/>
        <rFont val="DejaVu Sans"/>
        <family val="2"/>
      </rPr>
      <t xml:space="preserve">执行器</t>
    </r>
  </si>
  <si>
    <r>
      <rPr>
        <b val="true"/>
        <sz val="11"/>
        <color rgb="FFFFFFFF"/>
        <rFont val="DejaVu Sans"/>
        <family val="2"/>
      </rPr>
      <t xml:space="preserve">真实 </t>
    </r>
    <r>
      <rPr>
        <b val="true"/>
        <sz val="11"/>
        <color rgb="FFFFFFFF"/>
        <rFont val="Arial"/>
        <family val="0"/>
        <charset val="1"/>
      </rPr>
      <t xml:space="preserve">ApplyPort</t>
    </r>
  </si>
  <si>
    <r>
      <rPr>
        <b val="true"/>
        <sz val="11"/>
        <color rgb="FFFFFFFF"/>
        <rFont val="DejaVu Sans"/>
        <family val="2"/>
      </rPr>
      <t xml:space="preserve">读侧 </t>
    </r>
    <r>
      <rPr>
        <b val="true"/>
        <sz val="11"/>
        <color rgb="FFFFFFFF"/>
        <rFont val="Arial"/>
        <family val="0"/>
        <charset val="1"/>
      </rPr>
      <t xml:space="preserve">Seam</t>
    </r>
  </si>
  <si>
    <r>
      <rPr>
        <b val="true"/>
        <sz val="11"/>
        <color rgb="FFFFFFFF"/>
        <rFont val="DejaVu Sans"/>
        <family val="2"/>
      </rPr>
      <t xml:space="preserve">真 </t>
    </r>
    <r>
      <rPr>
        <b val="true"/>
        <sz val="11"/>
        <color rgb="FFFFFFFF"/>
        <rFont val="Arial"/>
        <family val="0"/>
        <charset val="1"/>
      </rPr>
      <t xml:space="preserve">commit/</t>
    </r>
    <r>
      <rPr>
        <b val="true"/>
        <sz val="11"/>
        <color rgb="FFFFFFFF"/>
        <rFont val="DejaVu Sans"/>
        <family val="2"/>
      </rPr>
      <t xml:space="preserve">落地</t>
    </r>
  </si>
  <si>
    <r>
      <rPr>
        <b val="true"/>
        <sz val="11"/>
        <color rgb="FFFFFFFF"/>
        <rFont val="DejaVu Sans"/>
        <family val="2"/>
      </rPr>
      <t xml:space="preserve">共享 </t>
    </r>
    <r>
      <rPr>
        <b val="true"/>
        <sz val="11"/>
        <color rgb="FFFFFFFF"/>
        <rFont val="Arial"/>
        <family val="0"/>
        <charset val="1"/>
      </rPr>
      <t xml:space="preserve">cutover </t>
    </r>
    <r>
      <rPr>
        <b val="true"/>
        <sz val="11"/>
        <color rgb="FFFFFFFF"/>
        <rFont val="DejaVu Sans"/>
        <family val="2"/>
      </rPr>
      <t xml:space="preserve">模型</t>
    </r>
  </si>
  <si>
    <r>
      <rPr>
        <b val="true"/>
        <sz val="11"/>
        <color rgb="FFFFFFFF"/>
        <rFont val="DejaVu Sans"/>
        <family val="2"/>
      </rPr>
      <t xml:space="preserve">就绪度</t>
    </r>
    <r>
      <rPr>
        <b val="true"/>
        <sz val="11"/>
        <color rgb="FFFFFFFF"/>
        <rFont val="Arial"/>
        <family val="0"/>
        <charset val="1"/>
      </rPr>
      <t xml:space="preserve">(4-5</t>
    </r>
    <r>
      <rPr>
        <b val="true"/>
        <sz val="11"/>
        <color rgb="FFFFFFFF"/>
        <rFont val="DejaVu Sans"/>
        <family val="2"/>
      </rPr>
      <t xml:space="preserve">件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</si>
  <si>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录音元数据</t>
  </si>
  <si>
    <t xml:space="preserve">✅ 双端</t>
  </si>
  <si>
    <r>
      <rPr>
        <sz val="10"/>
        <rFont val="Arial"/>
        <family val="0"/>
        <charset val="1"/>
      </rPr>
      <t xml:space="preserve">—(</t>
    </r>
    <r>
      <rPr>
        <sz val="10"/>
        <rFont val="DejaVu Sans"/>
        <family val="2"/>
      </rPr>
      <t xml:space="preserve">走</t>
    </r>
    <r>
      <rPr>
        <sz val="10"/>
        <rFont val="Arial"/>
        <family val="0"/>
        <charset val="1"/>
      </rPr>
      <t xml:space="preserve">ExecutionShadow)</t>
    </r>
  </si>
  <si>
    <t xml:space="preserve">✅</t>
  </si>
  <si>
    <t xml:space="preserve">🟡 2/4</t>
  </si>
  <si>
    <t xml:space="preserve">库元数据</t>
  </si>
  <si>
    <t xml:space="preserve">—</t>
  </si>
  <si>
    <t xml:space="preserve">✅ 4/4</t>
  </si>
  <si>
    <t xml:space="preserve">生成产物</t>
  </si>
  <si>
    <r>
      <rPr>
        <b val="true"/>
        <sz val="10"/>
        <rFont val="DejaVu Sans"/>
        <family val="2"/>
      </rPr>
      <t xml:space="preserve">墓碑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冲突</t>
    </r>
  </si>
  <si>
    <t xml:space="preserve">音频上传</t>
  </si>
  <si>
    <r>
      <rPr>
        <sz val="10"/>
        <rFont val="DejaVu Sans"/>
        <family val="2"/>
      </rPr>
      <t xml:space="preserve">❌ 缺真</t>
    </r>
    <r>
      <rPr>
        <sz val="10"/>
        <rFont val="Arial"/>
        <family val="0"/>
        <charset val="1"/>
      </rPr>
      <t xml:space="preserve">commit</t>
    </r>
  </si>
  <si>
    <r>
      <rPr>
        <sz val="10"/>
        <rFont val="Arial"/>
        <family val="0"/>
        <charset val="1"/>
      </rPr>
      <t xml:space="preserve">✅(</t>
    </r>
    <r>
      <rPr>
        <sz val="10"/>
        <rFont val="DejaVu Sans"/>
        <family val="2"/>
      </rPr>
      <t xml:space="preserve">模型</t>
    </r>
    <r>
      <rPr>
        <sz val="10"/>
        <rFont val="Arial"/>
        <family val="0"/>
        <charset val="1"/>
      </rPr>
      <t xml:space="preserve">)</t>
    </r>
  </si>
  <si>
    <t xml:space="preserve">🟡 1/5</t>
  </si>
  <si>
    <t xml:space="preserve">应建组件数</t>
  </si>
  <si>
    <r>
      <rPr>
        <b val="true"/>
        <sz val="11"/>
        <color rgb="FFFFFFFF"/>
        <rFont val="DejaVu Sans"/>
        <family val="2"/>
      </rPr>
      <t xml:space="preserve">已完成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加权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</si>
  <si>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完成度 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</si>
  <si>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0"/>
        <rFont val="DejaVu Sans"/>
        <family val="2"/>
      </rPr>
      <t xml:space="preserve">合计 </t>
    </r>
    <r>
      <rPr>
        <b val="true"/>
        <sz val="10"/>
        <rFont val="Arial"/>
        <family val="0"/>
        <charset val="1"/>
      </rPr>
      <t xml:space="preserve">/ canonical </t>
    </r>
    <r>
      <rPr>
        <b val="true"/>
        <sz val="10"/>
        <rFont val="DejaVu Sans"/>
        <family val="2"/>
      </rPr>
      <t xml:space="preserve">面完成度</t>
    </r>
  </si>
  <si>
    <r>
      <rPr>
        <b val="true"/>
        <sz val="10"/>
        <rFont val="DejaVu Sans"/>
        <family val="2"/>
      </rPr>
      <t xml:space="preserve">其中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高优先级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对你目标的有效进度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</si>
  <si>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图例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口径</t>
    </r>
  </si>
  <si>
    <r>
      <rPr>
        <sz val="9"/>
        <rFont val="DejaVu Sans"/>
        <family val="2"/>
      </rPr>
      <t xml:space="preserve">• 完成度权重：✅已写</t>
    </r>
    <r>
      <rPr>
        <sz val="9"/>
        <rFont val="Arial"/>
        <family val="0"/>
        <charset val="1"/>
      </rPr>
      <t xml:space="preserve">=1, 🟡</t>
    </r>
    <r>
      <rPr>
        <sz val="9"/>
        <rFont val="DejaVu Sans"/>
        <family val="2"/>
      </rPr>
      <t xml:space="preserve">部分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空壳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仅模型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未真机证</t>
    </r>
    <r>
      <rPr>
        <sz val="9"/>
        <rFont val="Arial"/>
        <family val="0"/>
        <charset val="1"/>
      </rPr>
      <t xml:space="preserve">)=0.5, ❌</t>
    </r>
    <r>
      <rPr>
        <sz val="9"/>
        <rFont val="DejaVu Sans"/>
        <family val="2"/>
      </rPr>
      <t xml:space="preserve">缺</t>
    </r>
    <r>
      <rPr>
        <sz val="9"/>
        <rFont val="Arial"/>
        <family val="0"/>
        <charset val="1"/>
      </rPr>
      <t xml:space="preserve">=0, ⏸</t>
    </r>
    <r>
      <rPr>
        <sz val="9"/>
        <rFont val="DejaVu Sans"/>
        <family val="2"/>
      </rPr>
      <t xml:space="preserve">保留</t>
    </r>
    <r>
      <rPr>
        <sz val="9"/>
        <rFont val="Arial"/>
        <family val="0"/>
        <charset val="1"/>
      </rPr>
      <t xml:space="preserve">(legacy,Path B </t>
    </r>
    <r>
      <rPr>
        <sz val="9"/>
        <rFont val="DejaVu Sans"/>
        <family val="2"/>
      </rPr>
      <t xml:space="preserve">勿动</t>
    </r>
    <r>
      <rPr>
        <sz val="9"/>
        <rFont val="Arial"/>
        <family val="0"/>
        <charset val="1"/>
      </rPr>
      <t xml:space="preserve">)=</t>
    </r>
    <r>
      <rPr>
        <sz val="9"/>
        <rFont val="DejaVu Sans"/>
        <family val="2"/>
      </rPr>
      <t xml:space="preserve">不计入分母。</t>
    </r>
  </si>
  <si>
    <r>
      <rPr>
        <sz val="9"/>
        <rFont val="DejaVu Sans"/>
        <family val="2"/>
      </rPr>
      <t xml:space="preserve">• 两把尺子：① </t>
    </r>
    <r>
      <rPr>
        <sz val="9"/>
        <rFont val="Arial"/>
        <family val="0"/>
        <charset val="1"/>
      </rPr>
      <t xml:space="preserve">canonical </t>
    </r>
    <r>
      <rPr>
        <sz val="9"/>
        <rFont val="DejaVu Sans"/>
        <family val="2"/>
      </rPr>
      <t xml:space="preserve">面完成度</t>
    </r>
    <r>
      <rPr>
        <sz val="9"/>
        <rFont val="Arial"/>
        <family val="0"/>
        <charset val="1"/>
      </rPr>
      <t xml:space="preserve">=</t>
    </r>
    <r>
      <rPr>
        <sz val="9"/>
        <rFont val="DejaVu Sans"/>
        <family val="2"/>
      </rPr>
      <t xml:space="preserve">所有应建组件的加权完成；② 高优先级完成度</t>
    </r>
    <r>
      <rPr>
        <sz val="9"/>
        <rFont val="Arial"/>
        <family val="0"/>
        <charset val="1"/>
      </rPr>
      <t xml:space="preserve">=</t>
    </r>
    <r>
      <rPr>
        <sz val="9"/>
        <rFont val="DejaVu Sans"/>
        <family val="2"/>
      </rPr>
      <t xml:space="preserve">只看对你三条标准关键的项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更接近『真实可用进度』。</t>
    </r>
  </si>
  <si>
    <r>
      <rPr>
        <sz val="9"/>
        <rFont val="DejaVu Sans"/>
        <family val="2"/>
      </rPr>
      <t xml:space="preserve">• 改状态后：把 </t>
    </r>
    <r>
      <rPr>
        <sz val="9"/>
        <rFont val="Arial"/>
        <family val="0"/>
        <charset val="1"/>
      </rPr>
      <t xml:space="preserve">Master </t>
    </r>
    <r>
      <rPr>
        <sz val="9"/>
        <rFont val="DejaVu Sans"/>
        <family val="2"/>
      </rPr>
      <t xml:space="preserve">表 </t>
    </r>
    <r>
      <rPr>
        <sz val="9"/>
        <rFont val="Arial"/>
        <family val="0"/>
        <charset val="1"/>
      </rPr>
      <t xml:space="preserve">G </t>
    </r>
    <r>
      <rPr>
        <sz val="9"/>
        <rFont val="DejaVu Sans"/>
        <family val="2"/>
      </rPr>
      <t xml:space="preserve">列改成 </t>
    </r>
    <r>
      <rPr>
        <sz val="9"/>
        <rFont val="Arial"/>
        <family val="0"/>
        <charset val="1"/>
      </rPr>
      <t xml:space="preserve">1/0.5/0,</t>
    </r>
    <r>
      <rPr>
        <sz val="9"/>
        <rFont val="DejaVu Sans"/>
        <family val="2"/>
      </rPr>
      <t xml:space="preserve">本页自动重算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需在 </t>
    </r>
    <r>
      <rPr>
        <sz val="9"/>
        <rFont val="Arial"/>
        <family val="0"/>
        <charset val="1"/>
      </rPr>
      <t xml:space="preserve">Excel </t>
    </r>
    <r>
      <rPr>
        <sz val="9"/>
        <rFont val="DejaVu Sans"/>
        <family val="2"/>
      </rPr>
      <t xml:space="preserve">中重算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保存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。</t>
    </r>
  </si>
  <si>
    <r>
      <rPr>
        <sz val="9"/>
        <rFont val="DejaVu Sans"/>
        <family val="2"/>
      </rPr>
      <t xml:space="preserve">• ⏸ 行不计入进度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它们是 </t>
    </r>
    <r>
      <rPr>
        <sz val="9"/>
        <rFont val="Arial"/>
        <family val="0"/>
        <charset val="1"/>
      </rPr>
      <t xml:space="preserve">legacy </t>
    </r>
    <r>
      <rPr>
        <sz val="9"/>
        <rFont val="DejaVu Sans"/>
        <family val="2"/>
      </rPr>
      <t xml:space="preserve">执行肌肉与兜底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按路线图 </t>
    </r>
    <r>
      <rPr>
        <sz val="9"/>
        <rFont val="Arial"/>
        <family val="0"/>
        <charset val="1"/>
      </rPr>
      <t xml:space="preserve">Path B </t>
    </r>
    <r>
      <rPr>
        <sz val="9"/>
        <rFont val="DejaVu Sans"/>
        <family val="2"/>
      </rPr>
      <t xml:space="preserve">保留不重写。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</si>
</sst>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DejaVu Sans"/>
      <family val="2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E7E6E6"/>
        <bgColor rgb="FFD9E1F2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3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6" t="s">
        <v>14</v>
      </c>
      <c r="G2" s="7" t="n">
        <v>1</v>
      </c>
      <c r="H2" s="8" t="s">
        <v>15</v>
      </c>
      <c r="I2" s="5" t="s">
        <v>16</v>
      </c>
    </row>
    <row r="3" customFormat="false" ht="15" hidden="false" customHeight="false" outlineLevel="0" collapsed="false">
      <c r="A3" s="3" t="s">
        <v>9</v>
      </c>
      <c r="B3" s="5" t="s">
        <v>17</v>
      </c>
      <c r="C3" s="4" t="s">
        <v>11</v>
      </c>
      <c r="D3" s="4" t="s">
        <v>18</v>
      </c>
      <c r="E3" s="5" t="s">
        <v>19</v>
      </c>
      <c r="F3" s="6" t="s">
        <v>14</v>
      </c>
      <c r="G3" s="8" t="n">
        <v>1</v>
      </c>
      <c r="H3" s="8" t="s">
        <v>15</v>
      </c>
      <c r="I3" s="5" t="s">
        <v>20</v>
      </c>
    </row>
    <row r="4" customFormat="false" ht="15" hidden="false" customHeight="false" outlineLevel="0" collapsed="false">
      <c r="A4" s="3" t="s">
        <v>9</v>
      </c>
      <c r="B4" s="5" t="s">
        <v>21</v>
      </c>
      <c r="C4" s="4" t="s">
        <v>11</v>
      </c>
      <c r="D4" s="4" t="s">
        <v>22</v>
      </c>
      <c r="E4" s="5" t="s">
        <v>23</v>
      </c>
      <c r="F4" s="6" t="s">
        <v>14</v>
      </c>
      <c r="G4" s="8" t="n">
        <v>1</v>
      </c>
      <c r="H4" s="8" t="s">
        <v>15</v>
      </c>
      <c r="I4" s="5" t="s">
        <v>24</v>
      </c>
    </row>
    <row r="5" customFormat="false" ht="15" hidden="false" customHeight="false" outlineLevel="0" collapsed="false">
      <c r="A5" s="3" t="s">
        <v>9</v>
      </c>
      <c r="B5" s="5" t="s">
        <v>25</v>
      </c>
      <c r="C5" s="4" t="s">
        <v>11</v>
      </c>
      <c r="D5" s="5" t="s">
        <v>26</v>
      </c>
      <c r="E5" s="5" t="s">
        <v>27</v>
      </c>
      <c r="F5" s="6" t="s">
        <v>14</v>
      </c>
      <c r="G5" s="8" t="n">
        <v>1</v>
      </c>
      <c r="H5" s="8" t="s">
        <v>28</v>
      </c>
      <c r="I5" s="5" t="s">
        <v>29</v>
      </c>
    </row>
    <row r="6" customFormat="false" ht="23.85" hidden="false" customHeight="false" outlineLevel="0" collapsed="false">
      <c r="A6" s="3" t="s">
        <v>9</v>
      </c>
      <c r="B6" s="4" t="s">
        <v>30</v>
      </c>
      <c r="C6" s="4" t="s">
        <v>11</v>
      </c>
      <c r="D6" s="4" t="s">
        <v>31</v>
      </c>
      <c r="E6" s="5" t="s">
        <v>32</v>
      </c>
      <c r="F6" s="6" t="s">
        <v>14</v>
      </c>
      <c r="G6" s="8" t="n">
        <v>1</v>
      </c>
      <c r="H6" s="8" t="s">
        <v>15</v>
      </c>
      <c r="I6" s="5" t="s">
        <v>33</v>
      </c>
    </row>
    <row r="7" customFormat="false" ht="15" hidden="false" customHeight="false" outlineLevel="0" collapsed="false">
      <c r="A7" s="3" t="s">
        <v>9</v>
      </c>
      <c r="B7" s="4" t="s">
        <v>34</v>
      </c>
      <c r="C7" s="4" t="s">
        <v>11</v>
      </c>
      <c r="D7" s="4" t="s">
        <v>35</v>
      </c>
      <c r="E7" s="5" t="s">
        <v>36</v>
      </c>
      <c r="F7" s="6" t="s">
        <v>14</v>
      </c>
      <c r="G7" s="8" t="n">
        <v>1</v>
      </c>
      <c r="H7" s="8" t="s">
        <v>15</v>
      </c>
      <c r="I7" s="5" t="s">
        <v>37</v>
      </c>
    </row>
    <row r="8" customFormat="false" ht="15" hidden="false" customHeight="false" outlineLevel="0" collapsed="false">
      <c r="A8" s="3" t="s">
        <v>9</v>
      </c>
      <c r="B8" s="4" t="s">
        <v>38</v>
      </c>
      <c r="C8" s="4" t="s">
        <v>11</v>
      </c>
      <c r="D8" s="4" t="s">
        <v>39</v>
      </c>
      <c r="E8" s="5" t="s">
        <v>40</v>
      </c>
      <c r="F8" s="6" t="s">
        <v>14</v>
      </c>
      <c r="G8" s="8" t="n">
        <v>1</v>
      </c>
      <c r="H8" s="8" t="s">
        <v>28</v>
      </c>
      <c r="I8" s="5" t="s">
        <v>41</v>
      </c>
    </row>
    <row r="9" customFormat="false" ht="23.85" hidden="false" customHeight="false" outlineLevel="0" collapsed="false">
      <c r="A9" s="3" t="s">
        <v>9</v>
      </c>
      <c r="B9" s="4" t="s">
        <v>42</v>
      </c>
      <c r="C9" s="4" t="s">
        <v>11</v>
      </c>
      <c r="D9" s="4" t="s">
        <v>43</v>
      </c>
      <c r="E9" s="5" t="s">
        <v>44</v>
      </c>
      <c r="F9" s="6" t="s">
        <v>14</v>
      </c>
      <c r="G9" s="8" t="n">
        <v>1</v>
      </c>
      <c r="H9" s="8" t="s">
        <v>15</v>
      </c>
      <c r="I9" s="4"/>
    </row>
    <row r="10" customFormat="false" ht="23.85" hidden="false" customHeight="false" outlineLevel="0" collapsed="false">
      <c r="A10" s="3" t="s">
        <v>9</v>
      </c>
      <c r="B10" s="5" t="s">
        <v>45</v>
      </c>
      <c r="C10" s="4" t="s">
        <v>11</v>
      </c>
      <c r="D10" s="4" t="s">
        <v>46</v>
      </c>
      <c r="E10" s="5" t="s">
        <v>47</v>
      </c>
      <c r="F10" s="6" t="s">
        <v>14</v>
      </c>
      <c r="G10" s="8" t="n">
        <v>1</v>
      </c>
      <c r="H10" s="8" t="s">
        <v>15</v>
      </c>
      <c r="I10" s="4" t="s">
        <v>48</v>
      </c>
    </row>
    <row r="11" customFormat="false" ht="15" hidden="false" customHeight="false" outlineLevel="0" collapsed="false">
      <c r="A11" s="3" t="s">
        <v>9</v>
      </c>
      <c r="B11" s="4" t="s">
        <v>49</v>
      </c>
      <c r="C11" s="4" t="s">
        <v>11</v>
      </c>
      <c r="D11" s="4" t="s">
        <v>50</v>
      </c>
      <c r="E11" s="5" t="s">
        <v>51</v>
      </c>
      <c r="F11" s="6" t="s">
        <v>14</v>
      </c>
      <c r="G11" s="8" t="n">
        <v>1</v>
      </c>
      <c r="H11" s="8" t="s">
        <v>28</v>
      </c>
      <c r="I11" s="5" t="s">
        <v>52</v>
      </c>
    </row>
    <row r="12" customFormat="false" ht="23.85" hidden="false" customHeight="false" outlineLevel="0" collapsed="false">
      <c r="A12" s="3" t="s">
        <v>9</v>
      </c>
      <c r="B12" s="4" t="s">
        <v>53</v>
      </c>
      <c r="C12" s="5" t="s">
        <v>54</v>
      </c>
      <c r="D12" s="4" t="s">
        <v>55</v>
      </c>
      <c r="E12" s="5" t="s">
        <v>56</v>
      </c>
      <c r="F12" s="9" t="s">
        <v>57</v>
      </c>
      <c r="G12" s="8" t="n">
        <v>0</v>
      </c>
      <c r="H12" s="8" t="s">
        <v>15</v>
      </c>
      <c r="I12" s="4" t="s">
        <v>58</v>
      </c>
    </row>
    <row r="13" customFormat="false" ht="23.85" hidden="false" customHeight="false" outlineLevel="0" collapsed="false">
      <c r="A13" s="3" t="s">
        <v>9</v>
      </c>
      <c r="B13" s="4" t="s">
        <v>59</v>
      </c>
      <c r="C13" s="5" t="s">
        <v>60</v>
      </c>
      <c r="D13" s="4" t="s">
        <v>61</v>
      </c>
      <c r="E13" s="5" t="s">
        <v>62</v>
      </c>
      <c r="F13" s="9" t="s">
        <v>57</v>
      </c>
      <c r="G13" s="8" t="n">
        <v>0</v>
      </c>
      <c r="H13" s="8" t="s">
        <v>15</v>
      </c>
      <c r="I13" s="5" t="s">
        <v>63</v>
      </c>
    </row>
    <row r="14" customFormat="false" ht="23.85" hidden="false" customHeight="false" outlineLevel="0" collapsed="false">
      <c r="A14" s="3" t="s">
        <v>9</v>
      </c>
      <c r="B14" s="4" t="s">
        <v>64</v>
      </c>
      <c r="C14" s="4" t="s">
        <v>65</v>
      </c>
      <c r="D14" s="4" t="s">
        <v>66</v>
      </c>
      <c r="E14" s="5" t="s">
        <v>67</v>
      </c>
      <c r="F14" s="10" t="s">
        <v>68</v>
      </c>
      <c r="G14" s="8" t="n">
        <v>0.5</v>
      </c>
      <c r="H14" s="8" t="s">
        <v>15</v>
      </c>
      <c r="I14" s="4" t="s">
        <v>69</v>
      </c>
    </row>
    <row r="15" customFormat="false" ht="35.05" hidden="false" customHeight="false" outlineLevel="0" collapsed="false">
      <c r="A15" s="3" t="s">
        <v>9</v>
      </c>
      <c r="B15" s="4" t="s">
        <v>70</v>
      </c>
      <c r="C15" s="4" t="s">
        <v>65</v>
      </c>
      <c r="D15" s="4" t="s">
        <v>71</v>
      </c>
      <c r="E15" s="5" t="s">
        <v>72</v>
      </c>
      <c r="F15" s="6" t="s">
        <v>14</v>
      </c>
      <c r="G15" s="8" t="n">
        <v>1</v>
      </c>
      <c r="H15" s="8" t="s">
        <v>15</v>
      </c>
      <c r="I15" s="4" t="s">
        <v>73</v>
      </c>
    </row>
    <row r="16" customFormat="false" ht="35.05" hidden="false" customHeight="false" outlineLevel="0" collapsed="false">
      <c r="A16" s="3" t="s">
        <v>9</v>
      </c>
      <c r="B16" s="4" t="s">
        <v>74</v>
      </c>
      <c r="C16" s="4" t="s">
        <v>65</v>
      </c>
      <c r="D16" s="4" t="s">
        <v>75</v>
      </c>
      <c r="E16" s="5" t="s">
        <v>76</v>
      </c>
      <c r="F16" s="6" t="s">
        <v>14</v>
      </c>
      <c r="G16" s="8" t="n">
        <v>1</v>
      </c>
      <c r="H16" s="8" t="s">
        <v>15</v>
      </c>
      <c r="I16" s="4" t="s">
        <v>73</v>
      </c>
    </row>
    <row r="17" customFormat="false" ht="35.05" hidden="false" customHeight="false" outlineLevel="0" collapsed="false">
      <c r="A17" s="3" t="s">
        <v>9</v>
      </c>
      <c r="B17" s="4" t="s">
        <v>77</v>
      </c>
      <c r="C17" s="4" t="s">
        <v>65</v>
      </c>
      <c r="D17" s="4" t="s">
        <v>78</v>
      </c>
      <c r="E17" s="5" t="s">
        <v>79</v>
      </c>
      <c r="F17" s="6" t="s">
        <v>14</v>
      </c>
      <c r="G17" s="8" t="n">
        <v>1</v>
      </c>
      <c r="H17" s="8" t="s">
        <v>28</v>
      </c>
      <c r="I17" s="4" t="s">
        <v>73</v>
      </c>
    </row>
    <row r="18" customFormat="false" ht="15" hidden="false" customHeight="false" outlineLevel="0" collapsed="false">
      <c r="A18" s="3" t="s">
        <v>9</v>
      </c>
      <c r="B18" s="4" t="s">
        <v>80</v>
      </c>
      <c r="C18" s="4" t="s">
        <v>65</v>
      </c>
      <c r="D18" s="4" t="s">
        <v>81</v>
      </c>
      <c r="E18" s="5" t="s">
        <v>82</v>
      </c>
      <c r="F18" s="10" t="s">
        <v>68</v>
      </c>
      <c r="G18" s="8" t="n">
        <v>0.5</v>
      </c>
      <c r="H18" s="8" t="s">
        <v>15</v>
      </c>
      <c r="I18" s="4" t="s">
        <v>83</v>
      </c>
    </row>
    <row r="19" customFormat="false" ht="15" hidden="false" customHeight="false" outlineLevel="0" collapsed="false">
      <c r="A19" s="3" t="s">
        <v>84</v>
      </c>
      <c r="B19" s="4" t="s">
        <v>85</v>
      </c>
      <c r="C19" s="4" t="s">
        <v>11</v>
      </c>
      <c r="D19" s="4" t="s">
        <v>86</v>
      </c>
      <c r="E19" s="5" t="s">
        <v>87</v>
      </c>
      <c r="F19" s="6" t="s">
        <v>14</v>
      </c>
      <c r="G19" s="8" t="n">
        <v>1</v>
      </c>
      <c r="H19" s="8" t="s">
        <v>28</v>
      </c>
      <c r="I19" s="5" t="s">
        <v>88</v>
      </c>
    </row>
    <row r="20" customFormat="false" ht="15" hidden="false" customHeight="false" outlineLevel="0" collapsed="false">
      <c r="A20" s="3" t="s">
        <v>84</v>
      </c>
      <c r="B20" s="4" t="s">
        <v>89</v>
      </c>
      <c r="C20" s="4" t="s">
        <v>11</v>
      </c>
      <c r="D20" s="4" t="s">
        <v>90</v>
      </c>
      <c r="E20" s="5" t="s">
        <v>91</v>
      </c>
      <c r="F20" s="6" t="s">
        <v>14</v>
      </c>
      <c r="G20" s="8" t="n">
        <v>1</v>
      </c>
      <c r="H20" s="8" t="s">
        <v>15</v>
      </c>
      <c r="I20" s="5" t="s">
        <v>92</v>
      </c>
    </row>
    <row r="21" customFormat="false" ht="15" hidden="false" customHeight="false" outlineLevel="0" collapsed="false">
      <c r="A21" s="3" t="s">
        <v>84</v>
      </c>
      <c r="B21" s="4" t="s">
        <v>93</v>
      </c>
      <c r="C21" s="4" t="s">
        <v>11</v>
      </c>
      <c r="D21" s="4" t="s">
        <v>94</v>
      </c>
      <c r="E21" s="5" t="s">
        <v>95</v>
      </c>
      <c r="F21" s="6" t="s">
        <v>14</v>
      </c>
      <c r="G21" s="8" t="n">
        <v>1</v>
      </c>
      <c r="H21" s="8" t="s">
        <v>28</v>
      </c>
      <c r="I21" s="5" t="s">
        <v>96</v>
      </c>
    </row>
    <row r="22" customFormat="false" ht="15" hidden="false" customHeight="false" outlineLevel="0" collapsed="false">
      <c r="A22" s="3" t="s">
        <v>84</v>
      </c>
      <c r="B22" s="5" t="s">
        <v>97</v>
      </c>
      <c r="C22" s="5" t="s">
        <v>60</v>
      </c>
      <c r="D22" s="4" t="s">
        <v>98</v>
      </c>
      <c r="E22" s="5" t="s">
        <v>99</v>
      </c>
      <c r="F22" s="10" t="s">
        <v>68</v>
      </c>
      <c r="G22" s="8" t="n">
        <v>0.5</v>
      </c>
      <c r="H22" s="8" t="s">
        <v>28</v>
      </c>
      <c r="I22" s="4" t="s">
        <v>100</v>
      </c>
    </row>
    <row r="23" customFormat="false" ht="15" hidden="false" customHeight="false" outlineLevel="0" collapsed="false">
      <c r="A23" s="3" t="s">
        <v>84</v>
      </c>
      <c r="B23" s="5" t="s">
        <v>101</v>
      </c>
      <c r="C23" s="5" t="s">
        <v>60</v>
      </c>
      <c r="D23" s="4" t="s">
        <v>102</v>
      </c>
      <c r="E23" s="5" t="s">
        <v>103</v>
      </c>
      <c r="F23" s="6" t="s">
        <v>14</v>
      </c>
      <c r="G23" s="8" t="n">
        <v>1</v>
      </c>
      <c r="H23" s="8" t="s">
        <v>104</v>
      </c>
      <c r="I23" s="4"/>
    </row>
    <row r="24" customFormat="false" ht="15" hidden="false" customHeight="false" outlineLevel="0" collapsed="false">
      <c r="A24" s="3" t="s">
        <v>84</v>
      </c>
      <c r="B24" s="5" t="s">
        <v>105</v>
      </c>
      <c r="C24" s="5" t="s">
        <v>54</v>
      </c>
      <c r="D24" s="4" t="s">
        <v>98</v>
      </c>
      <c r="E24" s="5" t="s">
        <v>106</v>
      </c>
      <c r="F24" s="10" t="s">
        <v>68</v>
      </c>
      <c r="G24" s="8" t="n">
        <v>0.5</v>
      </c>
      <c r="H24" s="8" t="s">
        <v>28</v>
      </c>
      <c r="I24" s="4" t="s">
        <v>107</v>
      </c>
    </row>
    <row r="25" customFormat="false" ht="15" hidden="false" customHeight="false" outlineLevel="0" collapsed="false">
      <c r="A25" s="3" t="s">
        <v>84</v>
      </c>
      <c r="B25" s="5" t="s">
        <v>108</v>
      </c>
      <c r="C25" s="5" t="s">
        <v>54</v>
      </c>
      <c r="D25" s="4" t="s">
        <v>102</v>
      </c>
      <c r="E25" s="5" t="s">
        <v>109</v>
      </c>
      <c r="F25" s="6" t="s">
        <v>14</v>
      </c>
      <c r="G25" s="8" t="n">
        <v>1</v>
      </c>
      <c r="H25" s="8" t="s">
        <v>104</v>
      </c>
      <c r="I25" s="4"/>
    </row>
    <row r="26" customFormat="false" ht="23.85" hidden="false" customHeight="false" outlineLevel="0" collapsed="false">
      <c r="A26" s="3" t="s">
        <v>84</v>
      </c>
      <c r="B26" s="5" t="s">
        <v>110</v>
      </c>
      <c r="C26" s="4" t="s">
        <v>65</v>
      </c>
      <c r="D26" s="4" t="s">
        <v>111</v>
      </c>
      <c r="E26" s="5" t="s">
        <v>112</v>
      </c>
      <c r="F26" s="11" t="s">
        <v>113</v>
      </c>
      <c r="G26" s="8"/>
      <c r="H26" s="8" t="s">
        <v>28</v>
      </c>
      <c r="I26" s="5" t="s">
        <v>114</v>
      </c>
    </row>
    <row r="27" customFormat="false" ht="15" hidden="false" customHeight="false" outlineLevel="0" collapsed="false">
      <c r="A27" s="3" t="s">
        <v>115</v>
      </c>
      <c r="B27" s="4" t="s">
        <v>116</v>
      </c>
      <c r="C27" s="4" t="s">
        <v>11</v>
      </c>
      <c r="D27" s="4" t="s">
        <v>117</v>
      </c>
      <c r="E27" s="5" t="s">
        <v>118</v>
      </c>
      <c r="F27" s="10" t="s">
        <v>68</v>
      </c>
      <c r="G27" s="8" t="n">
        <v>0.5</v>
      </c>
      <c r="H27" s="8" t="s">
        <v>104</v>
      </c>
      <c r="I27" s="5" t="s">
        <v>119</v>
      </c>
    </row>
    <row r="28" customFormat="false" ht="15" hidden="false" customHeight="false" outlineLevel="0" collapsed="false">
      <c r="A28" s="3" t="s">
        <v>115</v>
      </c>
      <c r="B28" s="4" t="s">
        <v>120</v>
      </c>
      <c r="C28" s="4" t="s">
        <v>11</v>
      </c>
      <c r="D28" s="4" t="s">
        <v>121</v>
      </c>
      <c r="E28" s="5" t="s">
        <v>122</v>
      </c>
      <c r="F28" s="6" t="s">
        <v>14</v>
      </c>
      <c r="G28" s="8" t="n">
        <v>1</v>
      </c>
      <c r="H28" s="8" t="s">
        <v>104</v>
      </c>
      <c r="I28" s="5" t="s">
        <v>123</v>
      </c>
    </row>
    <row r="29" customFormat="false" ht="15" hidden="false" customHeight="false" outlineLevel="0" collapsed="false">
      <c r="A29" s="3" t="s">
        <v>115</v>
      </c>
      <c r="B29" s="4" t="s">
        <v>124</v>
      </c>
      <c r="C29" s="4" t="s">
        <v>11</v>
      </c>
      <c r="D29" s="4" t="s">
        <v>125</v>
      </c>
      <c r="E29" s="5" t="s">
        <v>126</v>
      </c>
      <c r="F29" s="6" t="s">
        <v>14</v>
      </c>
      <c r="G29" s="8" t="n">
        <v>1</v>
      </c>
      <c r="H29" s="8" t="s">
        <v>28</v>
      </c>
      <c r="I29" s="5" t="s">
        <v>127</v>
      </c>
    </row>
    <row r="30" customFormat="false" ht="23.85" hidden="false" customHeight="false" outlineLevel="0" collapsed="false">
      <c r="A30" s="3" t="s">
        <v>115</v>
      </c>
      <c r="B30" s="5" t="s">
        <v>128</v>
      </c>
      <c r="C30" s="5" t="s">
        <v>60</v>
      </c>
      <c r="D30" s="4" t="s">
        <v>129</v>
      </c>
      <c r="E30" s="5" t="s">
        <v>130</v>
      </c>
      <c r="F30" s="10" t="s">
        <v>68</v>
      </c>
      <c r="G30" s="8" t="n">
        <v>0.5</v>
      </c>
      <c r="H30" s="8" t="s">
        <v>104</v>
      </c>
      <c r="I30" s="5" t="s">
        <v>131</v>
      </c>
    </row>
    <row r="31" customFormat="false" ht="23.85" hidden="false" customHeight="false" outlineLevel="0" collapsed="false">
      <c r="A31" s="3" t="s">
        <v>115</v>
      </c>
      <c r="B31" s="5" t="s">
        <v>132</v>
      </c>
      <c r="C31" s="5" t="s">
        <v>60</v>
      </c>
      <c r="D31" s="4" t="s">
        <v>133</v>
      </c>
      <c r="E31" s="5" t="s">
        <v>134</v>
      </c>
      <c r="F31" s="6" t="s">
        <v>14</v>
      </c>
      <c r="G31" s="8" t="n">
        <v>1</v>
      </c>
      <c r="H31" s="8" t="s">
        <v>104</v>
      </c>
      <c r="I31" s="4"/>
    </row>
    <row r="32" customFormat="false" ht="15" hidden="false" customHeight="false" outlineLevel="0" collapsed="false">
      <c r="A32" s="3" t="s">
        <v>115</v>
      </c>
      <c r="B32" s="5" t="s">
        <v>135</v>
      </c>
      <c r="C32" s="5" t="s">
        <v>54</v>
      </c>
      <c r="D32" s="4" t="s">
        <v>129</v>
      </c>
      <c r="E32" s="5" t="s">
        <v>136</v>
      </c>
      <c r="F32" s="10" t="s">
        <v>68</v>
      </c>
      <c r="G32" s="8" t="n">
        <v>0.5</v>
      </c>
      <c r="H32" s="8" t="s">
        <v>104</v>
      </c>
      <c r="I32" s="4" t="s">
        <v>137</v>
      </c>
    </row>
    <row r="33" customFormat="false" ht="23.85" hidden="false" customHeight="false" outlineLevel="0" collapsed="false">
      <c r="A33" s="3" t="s">
        <v>115</v>
      </c>
      <c r="B33" s="5" t="s">
        <v>138</v>
      </c>
      <c r="C33" s="5" t="s">
        <v>54</v>
      </c>
      <c r="D33" s="4" t="s">
        <v>133</v>
      </c>
      <c r="E33" s="5" t="s">
        <v>139</v>
      </c>
      <c r="F33" s="6" t="s">
        <v>14</v>
      </c>
      <c r="G33" s="8" t="n">
        <v>1</v>
      </c>
      <c r="H33" s="8" t="s">
        <v>104</v>
      </c>
      <c r="I33" s="4"/>
    </row>
    <row r="34" customFormat="false" ht="35.05" hidden="false" customHeight="false" outlineLevel="0" collapsed="false">
      <c r="A34" s="3" t="s">
        <v>115</v>
      </c>
      <c r="B34" s="5" t="s">
        <v>140</v>
      </c>
      <c r="C34" s="4" t="s">
        <v>65</v>
      </c>
      <c r="D34" s="4" t="s">
        <v>141</v>
      </c>
      <c r="E34" s="5" t="s">
        <v>142</v>
      </c>
      <c r="F34" s="11" t="s">
        <v>113</v>
      </c>
      <c r="G34" s="8"/>
      <c r="H34" s="8" t="s">
        <v>15</v>
      </c>
      <c r="I34" s="4" t="s">
        <v>143</v>
      </c>
    </row>
    <row r="35" customFormat="false" ht="15" hidden="false" customHeight="false" outlineLevel="0" collapsed="false">
      <c r="A35" s="3" t="s">
        <v>144</v>
      </c>
      <c r="B35" s="4" t="s">
        <v>145</v>
      </c>
      <c r="C35" s="4" t="s">
        <v>11</v>
      </c>
      <c r="D35" s="4" t="s">
        <v>146</v>
      </c>
      <c r="E35" s="5" t="s">
        <v>147</v>
      </c>
      <c r="F35" s="10" t="s">
        <v>68</v>
      </c>
      <c r="G35" s="8" t="n">
        <v>0.5</v>
      </c>
      <c r="H35" s="8" t="s">
        <v>104</v>
      </c>
      <c r="I35" s="5" t="s">
        <v>148</v>
      </c>
    </row>
    <row r="36" customFormat="false" ht="15" hidden="false" customHeight="false" outlineLevel="0" collapsed="false">
      <c r="A36" s="3" t="s">
        <v>144</v>
      </c>
      <c r="B36" s="4" t="s">
        <v>149</v>
      </c>
      <c r="C36" s="4" t="s">
        <v>11</v>
      </c>
      <c r="D36" s="4" t="s">
        <v>150</v>
      </c>
      <c r="E36" s="5" t="s">
        <v>151</v>
      </c>
      <c r="F36" s="6" t="s">
        <v>14</v>
      </c>
      <c r="G36" s="8" t="n">
        <v>1</v>
      </c>
      <c r="H36" s="8" t="s">
        <v>28</v>
      </c>
      <c r="I36" s="5" t="s">
        <v>152</v>
      </c>
    </row>
    <row r="37" customFormat="false" ht="15" hidden="false" customHeight="false" outlineLevel="0" collapsed="false">
      <c r="A37" s="3" t="s">
        <v>144</v>
      </c>
      <c r="B37" s="4" t="s">
        <v>153</v>
      </c>
      <c r="C37" s="4" t="s">
        <v>11</v>
      </c>
      <c r="D37" s="4" t="s">
        <v>154</v>
      </c>
      <c r="E37" s="5" t="s">
        <v>155</v>
      </c>
      <c r="F37" s="6" t="s">
        <v>14</v>
      </c>
      <c r="G37" s="8" t="n">
        <v>1</v>
      </c>
      <c r="H37" s="8" t="s">
        <v>28</v>
      </c>
      <c r="I37" s="5" t="s">
        <v>156</v>
      </c>
    </row>
    <row r="38" customFormat="false" ht="15" hidden="false" customHeight="false" outlineLevel="0" collapsed="false">
      <c r="A38" s="3" t="s">
        <v>144</v>
      </c>
      <c r="B38" s="4" t="s">
        <v>157</v>
      </c>
      <c r="C38" s="4" t="s">
        <v>11</v>
      </c>
      <c r="D38" s="4" t="s">
        <v>158</v>
      </c>
      <c r="E38" s="5" t="s">
        <v>159</v>
      </c>
      <c r="F38" s="6" t="s">
        <v>14</v>
      </c>
      <c r="G38" s="8" t="n">
        <v>1</v>
      </c>
      <c r="H38" s="8" t="s">
        <v>28</v>
      </c>
      <c r="I38" s="5" t="s">
        <v>160</v>
      </c>
    </row>
    <row r="39" customFormat="false" ht="15" hidden="false" customHeight="false" outlineLevel="0" collapsed="false">
      <c r="A39" s="3" t="s">
        <v>144</v>
      </c>
      <c r="B39" s="5" t="s">
        <v>161</v>
      </c>
      <c r="C39" s="5" t="s">
        <v>60</v>
      </c>
      <c r="D39" s="4" t="s">
        <v>162</v>
      </c>
      <c r="E39" s="5" t="s">
        <v>163</v>
      </c>
      <c r="F39" s="10" t="s">
        <v>68</v>
      </c>
      <c r="G39" s="8" t="n">
        <v>0.5</v>
      </c>
      <c r="H39" s="8" t="s">
        <v>104</v>
      </c>
      <c r="I39" s="5" t="s">
        <v>164</v>
      </c>
    </row>
    <row r="40" customFormat="false" ht="15" hidden="false" customHeight="false" outlineLevel="0" collapsed="false">
      <c r="A40" s="3" t="s">
        <v>144</v>
      </c>
      <c r="B40" s="5" t="s">
        <v>165</v>
      </c>
      <c r="C40" s="5" t="s">
        <v>60</v>
      </c>
      <c r="D40" s="4" t="s">
        <v>166</v>
      </c>
      <c r="E40" s="5" t="s">
        <v>167</v>
      </c>
      <c r="F40" s="6" t="s">
        <v>14</v>
      </c>
      <c r="G40" s="8" t="n">
        <v>1</v>
      </c>
      <c r="H40" s="8" t="s">
        <v>28</v>
      </c>
      <c r="I40" s="4"/>
    </row>
    <row r="41" customFormat="false" ht="15" hidden="false" customHeight="false" outlineLevel="0" collapsed="false">
      <c r="A41" s="3" t="s">
        <v>144</v>
      </c>
      <c r="B41" s="5" t="s">
        <v>168</v>
      </c>
      <c r="C41" s="5" t="s">
        <v>60</v>
      </c>
      <c r="D41" s="4" t="s">
        <v>169</v>
      </c>
      <c r="E41" s="5" t="s">
        <v>170</v>
      </c>
      <c r="F41" s="6" t="s">
        <v>14</v>
      </c>
      <c r="G41" s="8" t="n">
        <v>1</v>
      </c>
      <c r="H41" s="8" t="s">
        <v>28</v>
      </c>
      <c r="I41" s="4"/>
    </row>
    <row r="42" customFormat="false" ht="15" hidden="false" customHeight="false" outlineLevel="0" collapsed="false">
      <c r="A42" s="3" t="s">
        <v>144</v>
      </c>
      <c r="B42" s="5" t="s">
        <v>171</v>
      </c>
      <c r="C42" s="5" t="s">
        <v>60</v>
      </c>
      <c r="D42" s="4" t="s">
        <v>172</v>
      </c>
      <c r="E42" s="4" t="s">
        <v>173</v>
      </c>
      <c r="F42" s="9" t="s">
        <v>57</v>
      </c>
      <c r="G42" s="8" t="n">
        <v>0</v>
      </c>
      <c r="H42" s="8" t="s">
        <v>15</v>
      </c>
      <c r="I42" s="4" t="s">
        <v>174</v>
      </c>
    </row>
    <row r="43" customFormat="false" ht="15" hidden="false" customHeight="false" outlineLevel="0" collapsed="false">
      <c r="A43" s="3" t="s">
        <v>144</v>
      </c>
      <c r="B43" s="5" t="s">
        <v>175</v>
      </c>
      <c r="C43" s="5" t="s">
        <v>54</v>
      </c>
      <c r="D43" s="4" t="s">
        <v>176</v>
      </c>
      <c r="E43" s="5" t="s">
        <v>177</v>
      </c>
      <c r="F43" s="10" t="s">
        <v>68</v>
      </c>
      <c r="G43" s="8" t="n">
        <v>0.5</v>
      </c>
      <c r="H43" s="8" t="s">
        <v>104</v>
      </c>
      <c r="I43" s="4" t="s">
        <v>178</v>
      </c>
    </row>
    <row r="44" customFormat="false" ht="15" hidden="false" customHeight="false" outlineLevel="0" collapsed="false">
      <c r="A44" s="3" t="s">
        <v>144</v>
      </c>
      <c r="B44" s="5" t="s">
        <v>179</v>
      </c>
      <c r="C44" s="5" t="s">
        <v>54</v>
      </c>
      <c r="D44" s="4" t="s">
        <v>180</v>
      </c>
      <c r="E44" s="5" t="s">
        <v>181</v>
      </c>
      <c r="F44" s="6" t="s">
        <v>14</v>
      </c>
      <c r="G44" s="8" t="n">
        <v>1</v>
      </c>
      <c r="H44" s="8" t="s">
        <v>28</v>
      </c>
      <c r="I44" s="4"/>
    </row>
    <row r="45" customFormat="false" ht="15" hidden="false" customHeight="false" outlineLevel="0" collapsed="false">
      <c r="A45" s="3" t="s">
        <v>144</v>
      </c>
      <c r="B45" s="5" t="s">
        <v>182</v>
      </c>
      <c r="C45" s="5" t="s">
        <v>54</v>
      </c>
      <c r="D45" s="4" t="s">
        <v>183</v>
      </c>
      <c r="E45" s="4" t="s">
        <v>184</v>
      </c>
      <c r="F45" s="9" t="s">
        <v>57</v>
      </c>
      <c r="G45" s="8" t="n">
        <v>0</v>
      </c>
      <c r="H45" s="8" t="s">
        <v>15</v>
      </c>
      <c r="I45" s="4" t="s">
        <v>185</v>
      </c>
    </row>
    <row r="46" customFormat="false" ht="23.85" hidden="false" customHeight="false" outlineLevel="0" collapsed="false">
      <c r="A46" s="3" t="s">
        <v>144</v>
      </c>
      <c r="B46" s="5" t="s">
        <v>186</v>
      </c>
      <c r="C46" s="4" t="s">
        <v>65</v>
      </c>
      <c r="D46" s="4" t="s">
        <v>187</v>
      </c>
      <c r="E46" s="5" t="s">
        <v>188</v>
      </c>
      <c r="F46" s="11" t="s">
        <v>113</v>
      </c>
      <c r="G46" s="8"/>
      <c r="H46" s="8" t="s">
        <v>15</v>
      </c>
      <c r="I46" s="4" t="s">
        <v>189</v>
      </c>
    </row>
    <row r="47" customFormat="false" ht="15" hidden="false" customHeight="false" outlineLevel="0" collapsed="false">
      <c r="A47" s="3" t="s">
        <v>190</v>
      </c>
      <c r="B47" s="4" t="s">
        <v>191</v>
      </c>
      <c r="C47" s="4" t="s">
        <v>11</v>
      </c>
      <c r="D47" s="4" t="s">
        <v>192</v>
      </c>
      <c r="E47" s="5" t="s">
        <v>126</v>
      </c>
      <c r="F47" s="6" t="s">
        <v>14</v>
      </c>
      <c r="G47" s="8" t="n">
        <v>1</v>
      </c>
      <c r="H47" s="8" t="s">
        <v>15</v>
      </c>
      <c r="I47" s="4"/>
    </row>
    <row r="48" customFormat="false" ht="15" hidden="false" customHeight="false" outlineLevel="0" collapsed="false">
      <c r="A48" s="3" t="s">
        <v>190</v>
      </c>
      <c r="B48" s="4" t="s">
        <v>193</v>
      </c>
      <c r="C48" s="4" t="s">
        <v>11</v>
      </c>
      <c r="D48" s="4" t="s">
        <v>194</v>
      </c>
      <c r="E48" s="5" t="s">
        <v>195</v>
      </c>
      <c r="F48" s="6" t="s">
        <v>14</v>
      </c>
      <c r="G48" s="8" t="n">
        <v>1</v>
      </c>
      <c r="H48" s="8" t="s">
        <v>28</v>
      </c>
      <c r="I48" s="4"/>
    </row>
    <row r="49" customFormat="false" ht="15" hidden="false" customHeight="false" outlineLevel="0" collapsed="false">
      <c r="A49" s="3" t="s">
        <v>190</v>
      </c>
      <c r="B49" s="5" t="s">
        <v>196</v>
      </c>
      <c r="C49" s="4" t="s">
        <v>11</v>
      </c>
      <c r="D49" s="4" t="s">
        <v>197</v>
      </c>
      <c r="E49" s="5" t="s">
        <v>198</v>
      </c>
      <c r="F49" s="6" t="s">
        <v>14</v>
      </c>
      <c r="G49" s="8" t="n">
        <v>1</v>
      </c>
      <c r="H49" s="8" t="s">
        <v>28</v>
      </c>
      <c r="I49" s="4"/>
    </row>
    <row r="50" customFormat="false" ht="15" hidden="false" customHeight="false" outlineLevel="0" collapsed="false">
      <c r="A50" s="3" t="s">
        <v>190</v>
      </c>
      <c r="B50" s="4" t="s">
        <v>199</v>
      </c>
      <c r="C50" s="4" t="s">
        <v>11</v>
      </c>
      <c r="D50" s="4" t="s">
        <v>200</v>
      </c>
      <c r="E50" s="5" t="s">
        <v>201</v>
      </c>
      <c r="F50" s="6" t="s">
        <v>14</v>
      </c>
      <c r="G50" s="8" t="n">
        <v>1</v>
      </c>
      <c r="H50" s="8" t="s">
        <v>28</v>
      </c>
      <c r="I50" s="5" t="s">
        <v>202</v>
      </c>
    </row>
    <row r="51" customFormat="false" ht="23.85" hidden="false" customHeight="false" outlineLevel="0" collapsed="false">
      <c r="A51" s="3" t="s">
        <v>190</v>
      </c>
      <c r="B51" s="4" t="s">
        <v>203</v>
      </c>
      <c r="C51" s="4" t="s">
        <v>65</v>
      </c>
      <c r="D51" s="4" t="s">
        <v>204</v>
      </c>
      <c r="E51" s="5" t="s">
        <v>205</v>
      </c>
      <c r="F51" s="6" t="s">
        <v>14</v>
      </c>
      <c r="G51" s="8" t="n">
        <v>1</v>
      </c>
      <c r="H51" s="8" t="s">
        <v>28</v>
      </c>
      <c r="I51" s="4"/>
    </row>
    <row r="52" customFormat="false" ht="15" hidden="false" customHeight="false" outlineLevel="0" collapsed="false">
      <c r="A52" s="3" t="s">
        <v>190</v>
      </c>
      <c r="B52" s="4" t="s">
        <v>206</v>
      </c>
      <c r="C52" s="4" t="s">
        <v>11</v>
      </c>
      <c r="D52" s="4" t="s">
        <v>207</v>
      </c>
      <c r="E52" s="5" t="s">
        <v>208</v>
      </c>
      <c r="F52" s="6" t="s">
        <v>14</v>
      </c>
      <c r="G52" s="8" t="n">
        <v>1</v>
      </c>
      <c r="H52" s="8" t="s">
        <v>15</v>
      </c>
      <c r="I52" s="5" t="s">
        <v>209</v>
      </c>
    </row>
    <row r="53" customFormat="false" ht="15" hidden="false" customHeight="false" outlineLevel="0" collapsed="false">
      <c r="A53" s="3" t="s">
        <v>190</v>
      </c>
      <c r="B53" s="5" t="s">
        <v>210</v>
      </c>
      <c r="C53" s="4" t="s">
        <v>11</v>
      </c>
      <c r="D53" s="4" t="s">
        <v>211</v>
      </c>
      <c r="E53" s="5" t="s">
        <v>212</v>
      </c>
      <c r="F53" s="10" t="s">
        <v>68</v>
      </c>
      <c r="G53" s="8" t="n">
        <v>0.5</v>
      </c>
      <c r="H53" s="8" t="s">
        <v>15</v>
      </c>
      <c r="I53" s="4" t="s">
        <v>213</v>
      </c>
    </row>
    <row r="54" customFormat="false" ht="15" hidden="false" customHeight="false" outlineLevel="0" collapsed="false">
      <c r="A54" s="3" t="s">
        <v>190</v>
      </c>
      <c r="B54" s="4" t="s">
        <v>214</v>
      </c>
      <c r="C54" s="4" t="s">
        <v>11</v>
      </c>
      <c r="D54" s="4" t="s">
        <v>215</v>
      </c>
      <c r="E54" s="5" t="s">
        <v>216</v>
      </c>
      <c r="F54" s="6" t="s">
        <v>14</v>
      </c>
      <c r="G54" s="8" t="n">
        <v>1</v>
      </c>
      <c r="H54" s="8" t="s">
        <v>104</v>
      </c>
      <c r="I54" s="5" t="s">
        <v>217</v>
      </c>
    </row>
    <row r="55" customFormat="false" ht="15" hidden="false" customHeight="false" outlineLevel="0" collapsed="false">
      <c r="A55" s="3" t="s">
        <v>190</v>
      </c>
      <c r="B55" s="5" t="s">
        <v>218</v>
      </c>
      <c r="C55" s="4" t="s">
        <v>65</v>
      </c>
      <c r="D55" s="4" t="s">
        <v>219</v>
      </c>
      <c r="E55" s="5" t="s">
        <v>220</v>
      </c>
      <c r="F55" s="11" t="s">
        <v>113</v>
      </c>
      <c r="G55" s="8"/>
      <c r="H55" s="8" t="s">
        <v>28</v>
      </c>
      <c r="I55" s="4" t="s">
        <v>221</v>
      </c>
    </row>
    <row r="56" customFormat="false" ht="15" hidden="false" customHeight="false" outlineLevel="0" collapsed="false">
      <c r="A56" s="3" t="s">
        <v>190</v>
      </c>
      <c r="B56" s="4" t="s">
        <v>222</v>
      </c>
      <c r="C56" s="4" t="s">
        <v>11</v>
      </c>
      <c r="D56" s="5" t="s">
        <v>223</v>
      </c>
      <c r="E56" s="5" t="s">
        <v>224</v>
      </c>
      <c r="F56" s="6" t="s">
        <v>14</v>
      </c>
      <c r="G56" s="8" t="n">
        <v>1</v>
      </c>
      <c r="H56" s="8" t="s">
        <v>104</v>
      </c>
      <c r="I56" s="4"/>
    </row>
    <row r="57" customFormat="false" ht="35.05" hidden="false" customHeight="false" outlineLevel="0" collapsed="false">
      <c r="A57" s="12" t="s">
        <v>225</v>
      </c>
      <c r="B57" s="5" t="s">
        <v>226</v>
      </c>
      <c r="C57" s="5" t="s">
        <v>60</v>
      </c>
      <c r="D57" s="5" t="s">
        <v>227</v>
      </c>
      <c r="E57" s="5" t="s">
        <v>228</v>
      </c>
      <c r="F57" s="6" t="s">
        <v>14</v>
      </c>
      <c r="G57" s="8" t="n">
        <v>1</v>
      </c>
      <c r="H57" s="8" t="s">
        <v>15</v>
      </c>
      <c r="I57" s="4" t="s">
        <v>229</v>
      </c>
    </row>
    <row r="58" customFormat="false" ht="23.85" hidden="false" customHeight="false" outlineLevel="0" collapsed="false">
      <c r="A58" s="12" t="s">
        <v>225</v>
      </c>
      <c r="B58" s="5" t="s">
        <v>230</v>
      </c>
      <c r="C58" s="5" t="s">
        <v>54</v>
      </c>
      <c r="D58" s="5" t="s">
        <v>227</v>
      </c>
      <c r="E58" s="5" t="s">
        <v>231</v>
      </c>
      <c r="F58" s="6" t="s">
        <v>14</v>
      </c>
      <c r="G58" s="8" t="n">
        <v>1</v>
      </c>
      <c r="H58" s="8" t="s">
        <v>15</v>
      </c>
      <c r="I58" s="4" t="s">
        <v>232</v>
      </c>
    </row>
    <row r="59" customFormat="false" ht="15" hidden="false" customHeight="false" outlineLevel="0" collapsed="false">
      <c r="A59" s="12" t="s">
        <v>225</v>
      </c>
      <c r="B59" s="5" t="s">
        <v>233</v>
      </c>
      <c r="C59" s="5" t="s">
        <v>60</v>
      </c>
      <c r="D59" s="5" t="s">
        <v>234</v>
      </c>
      <c r="E59" s="5" t="s">
        <v>235</v>
      </c>
      <c r="F59" s="6" t="s">
        <v>14</v>
      </c>
      <c r="G59" s="8" t="n">
        <v>1</v>
      </c>
      <c r="H59" s="8" t="s">
        <v>28</v>
      </c>
      <c r="I59" s="5" t="s">
        <v>236</v>
      </c>
    </row>
    <row r="60" customFormat="false" ht="15" hidden="false" customHeight="false" outlineLevel="0" collapsed="false">
      <c r="A60" s="12" t="s">
        <v>225</v>
      </c>
      <c r="B60" s="5" t="s">
        <v>237</v>
      </c>
      <c r="C60" s="5" t="s">
        <v>54</v>
      </c>
      <c r="D60" s="5" t="s">
        <v>234</v>
      </c>
      <c r="E60" s="5" t="s">
        <v>238</v>
      </c>
      <c r="F60" s="6" t="s">
        <v>14</v>
      </c>
      <c r="G60" s="8" t="n">
        <v>1</v>
      </c>
      <c r="H60" s="8" t="s">
        <v>28</v>
      </c>
      <c r="I60" s="4"/>
    </row>
    <row r="61" customFormat="false" ht="15" hidden="false" customHeight="false" outlineLevel="0" collapsed="false">
      <c r="A61" s="12" t="s">
        <v>225</v>
      </c>
      <c r="B61" s="4" t="s">
        <v>239</v>
      </c>
      <c r="C61" s="4" t="s">
        <v>65</v>
      </c>
      <c r="D61" s="4" t="s">
        <v>240</v>
      </c>
      <c r="E61" s="5" t="s">
        <v>241</v>
      </c>
      <c r="F61" s="10" t="s">
        <v>68</v>
      </c>
      <c r="G61" s="8" t="n">
        <v>0.5</v>
      </c>
      <c r="H61" s="8" t="s">
        <v>28</v>
      </c>
      <c r="I61" s="4" t="s">
        <v>242</v>
      </c>
    </row>
    <row r="62" customFormat="false" ht="15" hidden="false" customHeight="false" outlineLevel="0" collapsed="false">
      <c r="A62" s="12" t="s">
        <v>225</v>
      </c>
      <c r="B62" s="4" t="s">
        <v>243</v>
      </c>
      <c r="C62" s="4" t="s">
        <v>65</v>
      </c>
      <c r="D62" s="4" t="s">
        <v>244</v>
      </c>
      <c r="E62" s="5" t="s">
        <v>245</v>
      </c>
      <c r="F62" s="10" t="s">
        <v>68</v>
      </c>
      <c r="G62" s="8" t="n">
        <v>0.5</v>
      </c>
      <c r="H62" s="8" t="s">
        <v>28</v>
      </c>
      <c r="I62" s="4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247</v>
      </c>
      <c r="B1" s="2" t="s">
        <v>248</v>
      </c>
      <c r="C1" s="2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</row>
    <row r="2" customFormat="false" ht="15" hidden="false" customHeight="false" outlineLevel="0" collapsed="false">
      <c r="A2" s="13" t="s">
        <v>255</v>
      </c>
      <c r="B2" s="6" t="s">
        <v>256</v>
      </c>
      <c r="C2" s="6" t="s">
        <v>256</v>
      </c>
      <c r="D2" s="9" t="s">
        <v>57</v>
      </c>
      <c r="E2" s="9" t="s">
        <v>57</v>
      </c>
      <c r="F2" s="7" t="s">
        <v>257</v>
      </c>
      <c r="G2" s="14" t="s">
        <v>258</v>
      </c>
      <c r="H2" s="15" t="s">
        <v>259</v>
      </c>
    </row>
    <row r="3" customFormat="false" ht="15" hidden="false" customHeight="false" outlineLevel="0" collapsed="false">
      <c r="A3" s="13" t="s">
        <v>260</v>
      </c>
      <c r="B3" s="6" t="s">
        <v>256</v>
      </c>
      <c r="C3" s="6" t="s">
        <v>256</v>
      </c>
      <c r="D3" s="6" t="s">
        <v>256</v>
      </c>
      <c r="E3" s="6" t="s">
        <v>256</v>
      </c>
      <c r="F3" s="7" t="s">
        <v>261</v>
      </c>
      <c r="G3" s="14" t="s">
        <v>258</v>
      </c>
      <c r="H3" s="14" t="s">
        <v>262</v>
      </c>
    </row>
    <row r="4" customFormat="false" ht="15" hidden="false" customHeight="false" outlineLevel="0" collapsed="false">
      <c r="A4" s="13" t="s">
        <v>263</v>
      </c>
      <c r="B4" s="6" t="s">
        <v>256</v>
      </c>
      <c r="C4" s="6" t="s">
        <v>256</v>
      </c>
      <c r="D4" s="6" t="s">
        <v>256</v>
      </c>
      <c r="E4" s="6" t="s">
        <v>256</v>
      </c>
      <c r="F4" s="7" t="s">
        <v>261</v>
      </c>
      <c r="G4" s="14" t="s">
        <v>258</v>
      </c>
      <c r="H4" s="14" t="s">
        <v>262</v>
      </c>
    </row>
    <row r="5" customFormat="false" ht="15" hidden="false" customHeight="false" outlineLevel="0" collapsed="false">
      <c r="A5" s="13" t="s">
        <v>264</v>
      </c>
      <c r="B5" s="6" t="s">
        <v>256</v>
      </c>
      <c r="C5" s="6" t="s">
        <v>256</v>
      </c>
      <c r="D5" s="6" t="s">
        <v>256</v>
      </c>
      <c r="E5" s="6" t="s">
        <v>256</v>
      </c>
      <c r="F5" s="7" t="s">
        <v>261</v>
      </c>
      <c r="G5" s="14" t="s">
        <v>258</v>
      </c>
      <c r="H5" s="14" t="s">
        <v>262</v>
      </c>
    </row>
    <row r="6" customFormat="false" ht="15" hidden="false" customHeight="false" outlineLevel="0" collapsed="false">
      <c r="A6" s="13" t="s">
        <v>265</v>
      </c>
      <c r="B6" s="6" t="s">
        <v>256</v>
      </c>
      <c r="C6" s="9" t="s">
        <v>57</v>
      </c>
      <c r="D6" s="9" t="s">
        <v>57</v>
      </c>
      <c r="E6" s="9" t="s">
        <v>57</v>
      </c>
      <c r="F6" s="9" t="s">
        <v>266</v>
      </c>
      <c r="G6" s="14" t="s">
        <v>267</v>
      </c>
      <c r="H6" s="15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269</v>
      </c>
      <c r="C1" s="1" t="s">
        <v>270</v>
      </c>
      <c r="D1" s="1" t="s">
        <v>271</v>
      </c>
    </row>
    <row r="2" customFormat="false" ht="15" hidden="false" customHeight="false" outlineLevel="0" collapsed="false">
      <c r="A2" s="16" t="s">
        <v>84</v>
      </c>
      <c r="B2" s="8" t="n">
        <f aca="false">COUNTIFS(Master!$A$2:$A$200,A2,Master!$G$2:$G$200,"&lt;&gt;")</f>
        <v>7</v>
      </c>
      <c r="C2" s="8" t="n">
        <f aca="false">SUMIFS(Master!$G$2:$G$200,Master!$A$2:$A$200,A2)</f>
        <v>6</v>
      </c>
      <c r="D2" s="17" t="n">
        <f aca="false">IF(B2=0,0,C2/B2)</f>
        <v>0.857142857142857</v>
      </c>
    </row>
    <row r="3" customFormat="false" ht="15" hidden="false" customHeight="false" outlineLevel="0" collapsed="false">
      <c r="A3" s="16" t="s">
        <v>115</v>
      </c>
      <c r="B3" s="8" t="n">
        <f aca="false">COUNTIFS(Master!$A$2:$A$200,A3,Master!$G$2:$G$200,"&lt;&gt;")</f>
        <v>7</v>
      </c>
      <c r="C3" s="8" t="n">
        <f aca="false">SUMIFS(Master!$G$2:$G$200,Master!$A$2:$A$200,A3)</f>
        <v>5.5</v>
      </c>
      <c r="D3" s="17" t="n">
        <f aca="false">IF(B3=0,0,C3/B3)</f>
        <v>0.785714285714286</v>
      </c>
    </row>
    <row r="4" customFormat="false" ht="15" hidden="false" customHeight="false" outlineLevel="0" collapsed="false">
      <c r="A4" s="16" t="s">
        <v>144</v>
      </c>
      <c r="B4" s="8" t="n">
        <f aca="false">COUNTIFS(Master!$A$2:$A$200,A4,Master!$G$2:$G$200,"&lt;&gt;")</f>
        <v>11</v>
      </c>
      <c r="C4" s="8" t="n">
        <f aca="false">SUMIFS(Master!$G$2:$G$200,Master!$A$2:$A$200,A4)</f>
        <v>7.5</v>
      </c>
      <c r="D4" s="17" t="n">
        <f aca="false">IF(B4=0,0,C4/B4)</f>
        <v>0.681818181818182</v>
      </c>
    </row>
    <row r="5" customFormat="false" ht="15" hidden="false" customHeight="false" outlineLevel="0" collapsed="false">
      <c r="A5" s="16" t="s">
        <v>9</v>
      </c>
      <c r="B5" s="8" t="n">
        <f aca="false">COUNTIFS(Master!$A$2:$A$200,A5,Master!$G$2:$G$200,"&lt;&gt;")</f>
        <v>17</v>
      </c>
      <c r="C5" s="8" t="n">
        <f aca="false">SUMIFS(Master!$G$2:$G$200,Master!$A$2:$A$200,A5)</f>
        <v>14</v>
      </c>
      <c r="D5" s="17" t="n">
        <f aca="false">IF(B5=0,0,C5/B5)</f>
        <v>0.823529411764706</v>
      </c>
    </row>
    <row r="6" customFormat="false" ht="15" hidden="false" customHeight="false" outlineLevel="0" collapsed="false">
      <c r="A6" s="16" t="s">
        <v>190</v>
      </c>
      <c r="B6" s="8" t="n">
        <f aca="false">COUNTIFS(Master!$A$2:$A$200,A6,Master!$G$2:$G$200,"&lt;&gt;")</f>
        <v>9</v>
      </c>
      <c r="C6" s="8" t="n">
        <f aca="false">SUMIFS(Master!$G$2:$G$200,Master!$A$2:$A$200,A6)</f>
        <v>8.5</v>
      </c>
      <c r="D6" s="17" t="n">
        <f aca="false">IF(B6=0,0,C6/B6)</f>
        <v>0.944444444444444</v>
      </c>
    </row>
    <row r="7" customFormat="false" ht="15" hidden="false" customHeight="false" outlineLevel="0" collapsed="false">
      <c r="A7" s="18" t="s">
        <v>225</v>
      </c>
      <c r="B7" s="8" t="n">
        <f aca="false">COUNTIFS(Master!$A$2:$A$200,A7,Master!$G$2:$G$200,"&lt;&gt;")</f>
        <v>6</v>
      </c>
      <c r="C7" s="8" t="n">
        <f aca="false">SUMIFS(Master!$G$2:$G$200,Master!$A$2:$A$200,A7)</f>
        <v>5</v>
      </c>
      <c r="D7" s="17" t="n">
        <f aca="false">IF(B7=0,0,C7/B7)</f>
        <v>0.833333333333333</v>
      </c>
    </row>
    <row r="8" customFormat="false" ht="15" hidden="false" customHeight="false" outlineLevel="0" collapsed="false">
      <c r="A8" s="19" t="s">
        <v>272</v>
      </c>
      <c r="B8" s="20" t="n">
        <f aca="false">COUNTIFS(Master!$G$2:$G$200,"&lt;&gt;")</f>
        <v>57</v>
      </c>
      <c r="C8" s="20" t="n">
        <f aca="false">SUM(Master!$G$2:$G$200)</f>
        <v>46.5</v>
      </c>
      <c r="D8" s="21" t="n">
        <f aca="false">IF(B8=0,0,C8/B8)</f>
        <v>0.815789473684211</v>
      </c>
    </row>
    <row r="9" customFormat="false" ht="15" hidden="false" customHeight="false" outlineLevel="0" collapsed="false">
      <c r="A9" s="19" t="s">
        <v>273</v>
      </c>
      <c r="B9" s="20" t="n">
        <f aca="false">COUNTIFS(Master!$H$2:$H$200,"高",Master!$G$2:$G$200,"&lt;&gt;")</f>
        <v>21</v>
      </c>
      <c r="C9" s="20" t="n">
        <f aca="false">SUMIFS(Master!$G$2:$G$200,Master!$H$2:$H$200,"高")</f>
        <v>15.5</v>
      </c>
      <c r="D9" s="21" t="n">
        <f aca="false">IF(B9=0,0,C9/B9)</f>
        <v>0.738095238095238</v>
      </c>
    </row>
    <row r="11" customFormat="false" ht="15" hidden="false" customHeight="false" outlineLevel="0" collapsed="false">
      <c r="A11" s="22" t="s">
        <v>274</v>
      </c>
    </row>
    <row r="12" customFormat="false" ht="15" hidden="false" customHeight="false" outlineLevel="0" collapsed="false">
      <c r="A12" s="23" t="s">
        <v>275</v>
      </c>
    </row>
    <row r="13" customFormat="false" ht="15" hidden="false" customHeight="false" outlineLevel="0" collapsed="false">
      <c r="A13" s="23" t="s">
        <v>276</v>
      </c>
    </row>
    <row r="14" customFormat="false" ht="15" hidden="false" customHeight="false" outlineLevel="0" collapsed="false">
      <c r="A14" s="23" t="s">
        <v>277</v>
      </c>
    </row>
    <row r="15" customFormat="false" ht="15" hidden="false" customHeight="false" outlineLevel="0" collapsed="false">
      <c r="A15" s="23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2026-06-09T14:43:48Z</dcterms:created>
  <dc:creator>openpyxl</dc:creator>
  <dc:description/>
  <dc:language>en-US</dc:language>
  <cp:lastModifiedBy/>
  <dcterms:modified xsi:type="dcterms:W3CDTF">2026-06-09T14:43:48Z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